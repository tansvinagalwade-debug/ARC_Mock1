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5be4f4a9e66898/Documents/"/>
    </mc:Choice>
  </mc:AlternateContent>
  <xr:revisionPtr revIDLastSave="8" documentId="8_{EB02FBC8-8377-4453-B20D-62DCD51D9966}" xr6:coauthVersionLast="47" xr6:coauthVersionMax="47" xr10:uidLastSave="{C20A4A80-EB76-4663-BD10-F7E4A3CD29FE}"/>
  <bookViews>
    <workbookView minimized="1" xWindow="2472" yWindow="2472" windowWidth="17280" windowHeight="8880" activeTab="1" xr2:uid="{D7FCF9B9-1792-4E8C-B455-D636C3A430B4}"/>
  </bookViews>
  <sheets>
    <sheet name="Pivot Table" sheetId="4" r:id="rId1"/>
    <sheet name="Raw_Data (2)" sheetId="2" r:id="rId2"/>
    <sheet name="Raw_Data" sheetId="1" r:id="rId3"/>
  </sheets>
  <definedNames>
    <definedName name="_xlnm._FilterDatabase" localSheetId="1" hidden="1">'Raw_Data (2)'!$AM$2:$AM$208</definedName>
  </definedNames>
  <calcPr calcId="191029"/>
  <pivotCaches>
    <pivotCache cacheId="6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7" i="2" l="1"/>
  <c r="Y17" i="2"/>
  <c r="J207" i="2"/>
  <c r="J206" i="2"/>
  <c r="J201" i="2"/>
  <c r="J200" i="2"/>
  <c r="J199" i="2"/>
  <c r="J197" i="2"/>
  <c r="J194" i="2"/>
  <c r="J191" i="2"/>
  <c r="J188" i="2"/>
  <c r="J184" i="2"/>
  <c r="J183" i="2"/>
  <c r="J182" i="2"/>
  <c r="J181" i="2"/>
  <c r="J180" i="2"/>
  <c r="J177" i="2"/>
  <c r="J176" i="2"/>
  <c r="J175" i="2"/>
  <c r="J173" i="2"/>
  <c r="J166" i="2"/>
  <c r="J164" i="2"/>
  <c r="J163" i="2"/>
  <c r="J162" i="2"/>
  <c r="J151" i="2"/>
  <c r="J149" i="2"/>
  <c r="J143" i="2"/>
  <c r="J141" i="2"/>
  <c r="J136" i="2"/>
  <c r="J135" i="2"/>
  <c r="J131" i="2"/>
  <c r="J123" i="2"/>
  <c r="J117" i="2"/>
  <c r="J115" i="2"/>
  <c r="J114" i="2"/>
  <c r="J108" i="2"/>
  <c r="J107" i="2"/>
  <c r="J104" i="2"/>
  <c r="J102" i="2"/>
  <c r="J100" i="2"/>
  <c r="J96" i="2"/>
  <c r="J94" i="2"/>
  <c r="J90" i="2"/>
  <c r="J85" i="2"/>
  <c r="J84" i="2"/>
  <c r="J83" i="2"/>
  <c r="J74" i="2"/>
  <c r="J72" i="2"/>
  <c r="J70" i="2"/>
  <c r="J68" i="2"/>
  <c r="J67" i="2"/>
  <c r="J66" i="2"/>
  <c r="J62" i="2"/>
  <c r="J57" i="2"/>
  <c r="J55" i="2"/>
  <c r="J53" i="2"/>
  <c r="J50" i="2"/>
  <c r="J48" i="2"/>
  <c r="J47" i="2"/>
  <c r="J45" i="2"/>
  <c r="J43" i="2"/>
  <c r="J41" i="2"/>
  <c r="J40" i="2"/>
  <c r="J39" i="2"/>
  <c r="J35" i="2"/>
  <c r="J33" i="2"/>
  <c r="J31" i="2"/>
  <c r="J17" i="2"/>
  <c r="J7" i="2"/>
  <c r="K2" i="2"/>
  <c r="S3" i="2" a="1"/>
  <c r="S3" i="2"/>
  <c r="AI3" i="2"/>
  <c r="AI4" i="2"/>
  <c r="AI5" i="2"/>
  <c r="AI6" i="2"/>
  <c r="AI7" i="2"/>
  <c r="AI8" i="2"/>
  <c r="AI9" i="2"/>
  <c r="AI10" i="2"/>
  <c r="AI11" i="2"/>
  <c r="AI12" i="2"/>
  <c r="AI13" i="2"/>
  <c r="AI14" i="2"/>
  <c r="AI15" i="2"/>
  <c r="AI16" i="2"/>
  <c r="AI17" i="2"/>
  <c r="AI18" i="2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10" i="2"/>
  <c r="AI111" i="2"/>
  <c r="AI112" i="2"/>
  <c r="AI113" i="2"/>
  <c r="AI114" i="2"/>
  <c r="AI115" i="2"/>
  <c r="AI116" i="2"/>
  <c r="AI117" i="2"/>
  <c r="AI118" i="2"/>
  <c r="AI119" i="2"/>
  <c r="AI120" i="2"/>
  <c r="AI121" i="2"/>
  <c r="AI122" i="2"/>
  <c r="AI123" i="2"/>
  <c r="AI124" i="2"/>
  <c r="AI125" i="2"/>
  <c r="AI126" i="2"/>
  <c r="AI127" i="2"/>
  <c r="AI128" i="2"/>
  <c r="AI129" i="2"/>
  <c r="AI130" i="2"/>
  <c r="AI131" i="2"/>
  <c r="AI132" i="2"/>
  <c r="AI133" i="2"/>
  <c r="AI134" i="2"/>
  <c r="AI135" i="2"/>
  <c r="AI136" i="2"/>
  <c r="AI137" i="2"/>
  <c r="AI138" i="2"/>
  <c r="AI139" i="2"/>
  <c r="AI140" i="2"/>
  <c r="AI141" i="2"/>
  <c r="AI142" i="2"/>
  <c r="AI143" i="2"/>
  <c r="AI144" i="2"/>
  <c r="AI145" i="2"/>
  <c r="AI146" i="2"/>
  <c r="AI147" i="2"/>
  <c r="AI148" i="2"/>
  <c r="AI149" i="2"/>
  <c r="AI150" i="2"/>
  <c r="AI151" i="2"/>
  <c r="AI152" i="2"/>
  <c r="AI153" i="2"/>
  <c r="AI154" i="2"/>
  <c r="AI155" i="2"/>
  <c r="AI156" i="2"/>
  <c r="AI157" i="2"/>
  <c r="AI158" i="2"/>
  <c r="AI159" i="2"/>
  <c r="AI160" i="2"/>
  <c r="AI161" i="2"/>
  <c r="AI162" i="2"/>
  <c r="AI163" i="2"/>
  <c r="AI164" i="2"/>
  <c r="AI165" i="2"/>
  <c r="AI166" i="2"/>
  <c r="AI167" i="2"/>
  <c r="AI168" i="2"/>
  <c r="AI169" i="2"/>
  <c r="AI170" i="2"/>
  <c r="AI171" i="2"/>
  <c r="AI172" i="2"/>
  <c r="AI173" i="2"/>
  <c r="AI174" i="2"/>
  <c r="AI175" i="2"/>
  <c r="AI176" i="2"/>
  <c r="AI177" i="2"/>
  <c r="AI178" i="2"/>
  <c r="AI179" i="2"/>
  <c r="AI180" i="2"/>
  <c r="AI181" i="2"/>
  <c r="AI182" i="2"/>
  <c r="AI183" i="2"/>
  <c r="AI184" i="2"/>
  <c r="AI185" i="2"/>
  <c r="AI186" i="2"/>
  <c r="AI187" i="2"/>
  <c r="AI188" i="2"/>
  <c r="AI189" i="2"/>
  <c r="AI190" i="2"/>
  <c r="AI191" i="2"/>
  <c r="AI192" i="2"/>
  <c r="AI193" i="2"/>
  <c r="AI194" i="2"/>
  <c r="AI195" i="2"/>
  <c r="AI196" i="2"/>
  <c r="AI197" i="2"/>
  <c r="AI198" i="2"/>
  <c r="AI199" i="2"/>
  <c r="AI200" i="2"/>
  <c r="AI201" i="2"/>
  <c r="AI202" i="2"/>
  <c r="AI203" i="2"/>
  <c r="AI204" i="2"/>
  <c r="AI205" i="2"/>
  <c r="AI206" i="2"/>
  <c r="AI207" i="2"/>
  <c r="AI208" i="2"/>
  <c r="S4" i="2" a="1"/>
  <c r="S4" i="2" s="1"/>
  <c r="S5" i="2" a="1"/>
  <c r="S5" i="2" s="1"/>
  <c r="S6" i="2" a="1"/>
  <c r="S6" i="2" s="1"/>
  <c r="S7" i="2" a="1"/>
  <c r="S7" i="2" s="1"/>
  <c r="S8" i="2" a="1"/>
  <c r="S8" i="2"/>
  <c r="S9" i="2" a="1"/>
  <c r="S9" i="2"/>
  <c r="S10" i="2" a="1"/>
  <c r="S10" i="2" s="1"/>
  <c r="S11" i="2" a="1"/>
  <c r="S11" i="2" s="1"/>
  <c r="S12" i="2" a="1"/>
  <c r="S12" i="2" s="1"/>
  <c r="S13" i="2" a="1"/>
  <c r="S13" i="2" s="1"/>
  <c r="S14" i="2" a="1"/>
  <c r="S14" i="2" s="1"/>
  <c r="S15" i="2" a="1"/>
  <c r="S15" i="2" s="1"/>
  <c r="S16" i="2" a="1"/>
  <c r="S16" i="2" s="1"/>
  <c r="S17" i="2" a="1"/>
  <c r="S17" i="2" s="1"/>
  <c r="S18" i="2" a="1"/>
  <c r="S18" i="2" s="1"/>
  <c r="S19" i="2" a="1"/>
  <c r="S19" i="2" s="1"/>
  <c r="S20" i="2" a="1"/>
  <c r="S20" i="2" s="1"/>
  <c r="S21" i="2" a="1"/>
  <c r="S21" i="2" s="1"/>
  <c r="S22" i="2" a="1"/>
  <c r="S22" i="2" s="1"/>
  <c r="S23" i="2" a="1"/>
  <c r="S23" i="2" s="1"/>
  <c r="S24" i="2" a="1"/>
  <c r="S24" i="2" s="1"/>
  <c r="S25" i="2" a="1"/>
  <c r="S25" i="2" s="1"/>
  <c r="S26" i="2" a="1"/>
  <c r="S26" i="2" s="1"/>
  <c r="S27" i="2" a="1"/>
  <c r="S27" i="2" s="1"/>
  <c r="S28" i="2" a="1"/>
  <c r="S28" i="2" s="1"/>
  <c r="S29" i="2" a="1"/>
  <c r="S29" i="2" s="1"/>
  <c r="S30" i="2" a="1"/>
  <c r="S30" i="2" s="1"/>
  <c r="S31" i="2" a="1"/>
  <c r="S31" i="2" s="1"/>
  <c r="S32" i="2" a="1"/>
  <c r="S32" i="2" s="1"/>
  <c r="S33" i="2" a="1"/>
  <c r="S33" i="2" s="1"/>
  <c r="S34" i="2" a="1"/>
  <c r="S34" i="2" s="1"/>
  <c r="S35" i="2" a="1"/>
  <c r="S35" i="2" s="1"/>
  <c r="S36" i="2" a="1"/>
  <c r="S36" i="2" s="1"/>
  <c r="S37" i="2" a="1"/>
  <c r="S37" i="2" s="1"/>
  <c r="S38" i="2" a="1"/>
  <c r="S38" i="2" s="1"/>
  <c r="S39" i="2" a="1"/>
  <c r="S39" i="2" s="1"/>
  <c r="S40" i="2" a="1"/>
  <c r="S40" i="2" s="1"/>
  <c r="S41" i="2" a="1"/>
  <c r="S41" i="2" s="1"/>
  <c r="S42" i="2" a="1"/>
  <c r="S42" i="2" s="1"/>
  <c r="S43" i="2" a="1"/>
  <c r="S43" i="2" s="1"/>
  <c r="S44" i="2" a="1"/>
  <c r="S44" i="2" s="1"/>
  <c r="S45" i="2" a="1"/>
  <c r="S45" i="2" s="1"/>
  <c r="S46" i="2" a="1"/>
  <c r="S46" i="2" s="1"/>
  <c r="S47" i="2" a="1"/>
  <c r="S47" i="2" s="1"/>
  <c r="S48" i="2" a="1"/>
  <c r="S48" i="2" s="1"/>
  <c r="S49" i="2" a="1"/>
  <c r="S49" i="2" s="1"/>
  <c r="S50" i="2" a="1"/>
  <c r="S50" i="2" s="1"/>
  <c r="S51" i="2" a="1"/>
  <c r="S51" i="2" s="1"/>
  <c r="S52" i="2" a="1"/>
  <c r="S52" i="2" s="1"/>
  <c r="S53" i="2" a="1"/>
  <c r="S53" i="2" s="1"/>
  <c r="S54" i="2" a="1"/>
  <c r="S54" i="2" s="1"/>
  <c r="S55" i="2" a="1"/>
  <c r="S55" i="2" s="1"/>
  <c r="S56" i="2" a="1"/>
  <c r="S56" i="2" s="1"/>
  <c r="S57" i="2" a="1"/>
  <c r="S57" i="2" s="1"/>
  <c r="S58" i="2" a="1"/>
  <c r="S58" i="2" s="1"/>
  <c r="S59" i="2" a="1"/>
  <c r="S59" i="2" s="1"/>
  <c r="S60" i="2" a="1"/>
  <c r="S60" i="2" s="1"/>
  <c r="S61" i="2" a="1"/>
  <c r="S61" i="2" s="1"/>
  <c r="S62" i="2" a="1"/>
  <c r="S62" i="2" s="1"/>
  <c r="S63" i="2" a="1"/>
  <c r="S63" i="2" s="1"/>
  <c r="S64" i="2" a="1"/>
  <c r="S64" i="2" s="1"/>
  <c r="S65" i="2" a="1"/>
  <c r="S65" i="2" s="1"/>
  <c r="S66" i="2" a="1"/>
  <c r="S66" i="2" s="1"/>
  <c r="S67" i="2" a="1"/>
  <c r="S67" i="2" s="1"/>
  <c r="S68" i="2" a="1"/>
  <c r="S68" i="2" s="1"/>
  <c r="S69" i="2" a="1"/>
  <c r="S69" i="2" s="1"/>
  <c r="S70" i="2" a="1"/>
  <c r="S70" i="2" s="1"/>
  <c r="S71" i="2" a="1"/>
  <c r="S71" i="2" s="1"/>
  <c r="S72" i="2" a="1"/>
  <c r="S72" i="2" s="1"/>
  <c r="S73" i="2" a="1"/>
  <c r="S73" i="2" s="1"/>
  <c r="S74" i="2" a="1"/>
  <c r="S74" i="2" s="1"/>
  <c r="S75" i="2" a="1"/>
  <c r="S75" i="2" s="1"/>
  <c r="S76" i="2" a="1"/>
  <c r="S76" i="2" s="1"/>
  <c r="S77" i="2" a="1"/>
  <c r="S77" i="2" s="1"/>
  <c r="S78" i="2" a="1"/>
  <c r="S78" i="2" s="1"/>
  <c r="S79" i="2" a="1"/>
  <c r="S79" i="2" s="1"/>
  <c r="S80" i="2" a="1"/>
  <c r="S80" i="2" s="1"/>
  <c r="S81" i="2" a="1"/>
  <c r="S81" i="2" s="1"/>
  <c r="S82" i="2" a="1"/>
  <c r="S82" i="2" s="1"/>
  <c r="S83" i="2" a="1"/>
  <c r="S83" i="2" s="1"/>
  <c r="S84" i="2" a="1"/>
  <c r="S84" i="2" s="1"/>
  <c r="S85" i="2" a="1"/>
  <c r="S85" i="2" s="1"/>
  <c r="S86" i="2" a="1"/>
  <c r="S86" i="2" s="1"/>
  <c r="S87" i="2" a="1"/>
  <c r="S87" i="2" s="1"/>
  <c r="S88" i="2" a="1"/>
  <c r="S88" i="2" s="1"/>
  <c r="S89" i="2" a="1"/>
  <c r="S89" i="2" s="1"/>
  <c r="S90" i="2" a="1"/>
  <c r="S90" i="2" s="1"/>
  <c r="S91" i="2" a="1"/>
  <c r="S91" i="2" s="1"/>
  <c r="S92" i="2" a="1"/>
  <c r="S92" i="2" s="1"/>
  <c r="S93" i="2" a="1"/>
  <c r="S93" i="2" s="1"/>
  <c r="S94" i="2" a="1"/>
  <c r="S94" i="2" s="1"/>
  <c r="S95" i="2" a="1"/>
  <c r="S95" i="2" s="1"/>
  <c r="S96" i="2" a="1"/>
  <c r="S96" i="2" s="1"/>
  <c r="S97" i="2" a="1"/>
  <c r="S97" i="2" s="1"/>
  <c r="S98" i="2" a="1"/>
  <c r="S98" i="2" s="1"/>
  <c r="S99" i="2" a="1"/>
  <c r="S99" i="2" s="1"/>
  <c r="S100" i="2" a="1"/>
  <c r="S100" i="2" s="1"/>
  <c r="S101" i="2" a="1"/>
  <c r="S101" i="2" s="1"/>
  <c r="S102" i="2" a="1"/>
  <c r="S102" i="2" s="1"/>
  <c r="S103" i="2" a="1"/>
  <c r="S103" i="2" s="1"/>
  <c r="S104" i="2" a="1"/>
  <c r="S104" i="2" s="1"/>
  <c r="S105" i="2" a="1"/>
  <c r="S105" i="2" s="1"/>
  <c r="S106" i="2" a="1"/>
  <c r="S106" i="2" s="1"/>
  <c r="S107" i="2" a="1"/>
  <c r="S107" i="2" s="1"/>
  <c r="S108" i="2" a="1"/>
  <c r="S108" i="2" s="1"/>
  <c r="S109" i="2" a="1"/>
  <c r="S109" i="2" s="1"/>
  <c r="S110" i="2" a="1"/>
  <c r="S110" i="2" s="1"/>
  <c r="S111" i="2" a="1"/>
  <c r="S111" i="2" s="1"/>
  <c r="S112" i="2" a="1"/>
  <c r="S112" i="2" s="1"/>
  <c r="S113" i="2" a="1"/>
  <c r="S113" i="2" s="1"/>
  <c r="S114" i="2" a="1"/>
  <c r="S114" i="2" s="1"/>
  <c r="S115" i="2" a="1"/>
  <c r="S115" i="2" s="1"/>
  <c r="S116" i="2" a="1"/>
  <c r="S116" i="2" s="1"/>
  <c r="S117" i="2" a="1"/>
  <c r="S117" i="2" s="1"/>
  <c r="S118" i="2" a="1"/>
  <c r="S118" i="2" s="1"/>
  <c r="S119" i="2" a="1"/>
  <c r="S119" i="2" s="1"/>
  <c r="S120" i="2" a="1"/>
  <c r="S120" i="2" s="1"/>
  <c r="S121" i="2" a="1"/>
  <c r="S121" i="2" s="1"/>
  <c r="S122" i="2" a="1"/>
  <c r="S122" i="2" s="1"/>
  <c r="S123" i="2" a="1"/>
  <c r="S123" i="2" s="1"/>
  <c r="S124" i="2" a="1"/>
  <c r="S124" i="2" s="1"/>
  <c r="S125" i="2" a="1"/>
  <c r="S125" i="2" s="1"/>
  <c r="S126" i="2" a="1"/>
  <c r="S126" i="2" s="1"/>
  <c r="S127" i="2" a="1"/>
  <c r="S127" i="2" s="1"/>
  <c r="S128" i="2" a="1"/>
  <c r="S128" i="2" s="1"/>
  <c r="S129" i="2" a="1"/>
  <c r="S129" i="2" s="1"/>
  <c r="S130" i="2" a="1"/>
  <c r="S130" i="2" s="1"/>
  <c r="S131" i="2" a="1"/>
  <c r="S131" i="2" s="1"/>
  <c r="S132" i="2" a="1"/>
  <c r="S132" i="2" s="1"/>
  <c r="S133" i="2" a="1"/>
  <c r="S133" i="2" s="1"/>
  <c r="S134" i="2" a="1"/>
  <c r="S134" i="2" s="1"/>
  <c r="S135" i="2" a="1"/>
  <c r="S135" i="2"/>
  <c r="S136" i="2" a="1"/>
  <c r="S136" i="2" s="1"/>
  <c r="S137" i="2" a="1"/>
  <c r="S137" i="2" s="1"/>
  <c r="S138" i="2" a="1"/>
  <c r="S138" i="2" s="1"/>
  <c r="S139" i="2" a="1"/>
  <c r="S139" i="2" s="1"/>
  <c r="S140" i="2" a="1"/>
  <c r="S140" i="2" s="1"/>
  <c r="S141" i="2" a="1"/>
  <c r="S141" i="2" s="1"/>
  <c r="S142" i="2" a="1"/>
  <c r="S142" i="2" s="1"/>
  <c r="S143" i="2" a="1"/>
  <c r="S143" i="2" s="1"/>
  <c r="S144" i="2" a="1"/>
  <c r="S144" i="2" s="1"/>
  <c r="S145" i="2" a="1"/>
  <c r="S145" i="2" s="1"/>
  <c r="S146" i="2" a="1"/>
  <c r="S146" i="2"/>
  <c r="S147" i="2" a="1"/>
  <c r="S147" i="2" s="1"/>
  <c r="S148" i="2" a="1"/>
  <c r="S148" i="2" s="1"/>
  <c r="S149" i="2" a="1"/>
  <c r="S149" i="2" s="1"/>
  <c r="S150" i="2" a="1"/>
  <c r="S150" i="2" s="1"/>
  <c r="S151" i="2" a="1"/>
  <c r="S151" i="2" s="1"/>
  <c r="S152" i="2" a="1"/>
  <c r="S152" i="2" s="1"/>
  <c r="S153" i="2" a="1"/>
  <c r="S153" i="2" s="1"/>
  <c r="S154" i="2" a="1"/>
  <c r="S154" i="2" s="1"/>
  <c r="S155" i="2" a="1"/>
  <c r="S155" i="2" s="1"/>
  <c r="S156" i="2" a="1"/>
  <c r="S156" i="2" s="1"/>
  <c r="S157" i="2" a="1"/>
  <c r="S157" i="2" s="1"/>
  <c r="S158" i="2" a="1"/>
  <c r="S158" i="2" s="1"/>
  <c r="S159" i="2" a="1"/>
  <c r="S159" i="2" s="1"/>
  <c r="S160" i="2" a="1"/>
  <c r="S160" i="2" s="1"/>
  <c r="S161" i="2" a="1"/>
  <c r="S161" i="2" s="1"/>
  <c r="S162" i="2" a="1"/>
  <c r="S162" i="2" s="1"/>
  <c r="S163" i="2" a="1"/>
  <c r="S163" i="2" s="1"/>
  <c r="S164" i="2" a="1"/>
  <c r="S164" i="2" s="1"/>
  <c r="S165" i="2" a="1"/>
  <c r="S165" i="2" s="1"/>
  <c r="S166" i="2" a="1"/>
  <c r="S166" i="2" s="1"/>
  <c r="S167" i="2" a="1"/>
  <c r="S167" i="2" s="1"/>
  <c r="S168" i="2" a="1"/>
  <c r="S168" i="2" s="1"/>
  <c r="S169" i="2" a="1"/>
  <c r="S169" i="2" s="1"/>
  <c r="S170" i="2" a="1"/>
  <c r="S170" i="2" s="1"/>
  <c r="S171" i="2" a="1"/>
  <c r="S171" i="2" s="1"/>
  <c r="S172" i="2" a="1"/>
  <c r="S172" i="2" s="1"/>
  <c r="S173" i="2" a="1"/>
  <c r="S173" i="2" s="1"/>
  <c r="S174" i="2" a="1"/>
  <c r="S174" i="2" s="1"/>
  <c r="S175" i="2" a="1"/>
  <c r="S175" i="2" s="1"/>
  <c r="S176" i="2" a="1"/>
  <c r="S176" i="2" s="1"/>
  <c r="S177" i="2" a="1"/>
  <c r="S177" i="2" s="1"/>
  <c r="S178" i="2" a="1"/>
  <c r="S178" i="2" s="1"/>
  <c r="S179" i="2" a="1"/>
  <c r="S179" i="2" s="1"/>
  <c r="S180" i="2" a="1"/>
  <c r="S180" i="2" s="1"/>
  <c r="S181" i="2" a="1"/>
  <c r="S181" i="2" s="1"/>
  <c r="S182" i="2" a="1"/>
  <c r="S182" i="2" s="1"/>
  <c r="S183" i="2" a="1"/>
  <c r="S183" i="2" s="1"/>
  <c r="S184" i="2" a="1"/>
  <c r="S184" i="2" s="1"/>
  <c r="S185" i="2" a="1"/>
  <c r="S185" i="2" s="1"/>
  <c r="S186" i="2" a="1"/>
  <c r="S186" i="2" s="1"/>
  <c r="S187" i="2" a="1"/>
  <c r="S187" i="2" s="1"/>
  <c r="S188" i="2" a="1"/>
  <c r="S188" i="2" s="1"/>
  <c r="S189" i="2" a="1"/>
  <c r="S189" i="2" s="1"/>
  <c r="S190" i="2" a="1"/>
  <c r="S190" i="2" s="1"/>
  <c r="S191" i="2" a="1"/>
  <c r="S191" i="2" s="1"/>
  <c r="S192" i="2" a="1"/>
  <c r="S192" i="2" s="1"/>
  <c r="S193" i="2" a="1"/>
  <c r="S193" i="2" s="1"/>
  <c r="S194" i="2" a="1"/>
  <c r="S194" i="2" s="1"/>
  <c r="S195" i="2" a="1"/>
  <c r="S195" i="2" s="1"/>
  <c r="S196" i="2" a="1"/>
  <c r="S196" i="2" s="1"/>
  <c r="S197" i="2" a="1"/>
  <c r="S197" i="2" s="1"/>
  <c r="S198" i="2" a="1"/>
  <c r="S198" i="2" s="1"/>
  <c r="S199" i="2" a="1"/>
  <c r="S199" i="2" s="1"/>
  <c r="S200" i="2" a="1"/>
  <c r="S200" i="2" s="1"/>
  <c r="S201" i="2" a="1"/>
  <c r="S201" i="2" s="1"/>
  <c r="S202" i="2" a="1"/>
  <c r="S202" i="2" s="1"/>
  <c r="S203" i="2" a="1"/>
  <c r="S203" i="2" s="1"/>
  <c r="S204" i="2" a="1"/>
  <c r="S204" i="2" s="1"/>
  <c r="S205" i="2" a="1"/>
  <c r="S205" i="2" s="1"/>
  <c r="S206" i="2" a="1"/>
  <c r="S206" i="2" s="1"/>
  <c r="S207" i="2" a="1"/>
  <c r="S207" i="2" s="1"/>
  <c r="S208" i="2" a="1"/>
  <c r="S208" i="2" s="1"/>
  <c r="AC5" i="2"/>
  <c r="AC4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C98" i="2"/>
  <c r="AC99" i="2"/>
  <c r="AC100" i="2"/>
  <c r="AC101" i="2"/>
  <c r="AC102" i="2"/>
  <c r="AC103" i="2"/>
  <c r="AC104" i="2"/>
  <c r="AC105" i="2"/>
  <c r="AC106" i="2"/>
  <c r="AC107" i="2"/>
  <c r="AC108" i="2"/>
  <c r="AC109" i="2"/>
  <c r="AC110" i="2"/>
  <c r="AC111" i="2"/>
  <c r="AC112" i="2"/>
  <c r="AC113" i="2"/>
  <c r="AC114" i="2"/>
  <c r="AC115" i="2"/>
  <c r="AC116" i="2"/>
  <c r="AC117" i="2"/>
  <c r="AC118" i="2"/>
  <c r="AC119" i="2"/>
  <c r="AC120" i="2"/>
  <c r="AC121" i="2"/>
  <c r="AC122" i="2"/>
  <c r="AC123" i="2"/>
  <c r="AC124" i="2"/>
  <c r="AC125" i="2"/>
  <c r="AC126" i="2"/>
  <c r="AC127" i="2"/>
  <c r="AC128" i="2"/>
  <c r="AC129" i="2"/>
  <c r="AC130" i="2"/>
  <c r="AC131" i="2"/>
  <c r="AC132" i="2"/>
  <c r="AC133" i="2"/>
  <c r="AC134" i="2"/>
  <c r="AC135" i="2"/>
  <c r="AC136" i="2"/>
  <c r="AC137" i="2"/>
  <c r="AC138" i="2"/>
  <c r="AC139" i="2"/>
  <c r="AC140" i="2"/>
  <c r="AC141" i="2"/>
  <c r="AC142" i="2"/>
  <c r="AC143" i="2"/>
  <c r="AC144" i="2"/>
  <c r="AC145" i="2"/>
  <c r="AC146" i="2"/>
  <c r="AC147" i="2"/>
  <c r="AC148" i="2"/>
  <c r="AC149" i="2"/>
  <c r="AC150" i="2"/>
  <c r="AC151" i="2"/>
  <c r="AC152" i="2"/>
  <c r="AC153" i="2"/>
  <c r="AC154" i="2"/>
  <c r="AC155" i="2"/>
  <c r="AC156" i="2"/>
  <c r="AC157" i="2"/>
  <c r="AC158" i="2"/>
  <c r="AC159" i="2"/>
  <c r="AC160" i="2"/>
  <c r="AC161" i="2"/>
  <c r="AC162" i="2"/>
  <c r="AC163" i="2"/>
  <c r="AC164" i="2"/>
  <c r="AC165" i="2"/>
  <c r="AC166" i="2"/>
  <c r="AC167" i="2"/>
  <c r="AC168" i="2"/>
  <c r="AC169" i="2"/>
  <c r="AC170" i="2"/>
  <c r="AC171" i="2"/>
  <c r="AC172" i="2"/>
  <c r="AC173" i="2"/>
  <c r="AC174" i="2"/>
  <c r="AC175" i="2"/>
  <c r="AC176" i="2"/>
  <c r="AC177" i="2"/>
  <c r="AC178" i="2"/>
  <c r="AC179" i="2"/>
  <c r="AC180" i="2"/>
  <c r="AC181" i="2"/>
  <c r="AC182" i="2"/>
  <c r="AC183" i="2"/>
  <c r="AC184" i="2"/>
  <c r="AC185" i="2"/>
  <c r="AC186" i="2"/>
  <c r="AC187" i="2"/>
  <c r="AC188" i="2"/>
  <c r="AC189" i="2"/>
  <c r="AC190" i="2"/>
  <c r="AC191" i="2"/>
  <c r="AC192" i="2"/>
  <c r="AC193" i="2"/>
  <c r="AC194" i="2"/>
  <c r="AC195" i="2"/>
  <c r="AC196" i="2"/>
  <c r="AC197" i="2"/>
  <c r="AC198" i="2"/>
  <c r="AC199" i="2"/>
  <c r="AC200" i="2"/>
  <c r="AC201" i="2"/>
  <c r="AC202" i="2"/>
  <c r="AC203" i="2"/>
  <c r="AC204" i="2"/>
  <c r="AC205" i="2"/>
  <c r="AC206" i="2"/>
  <c r="AC207" i="2"/>
  <c r="AC208" i="2"/>
  <c r="AC3" i="2"/>
  <c r="Y4" i="2"/>
  <c r="AA4" i="2" s="1"/>
  <c r="Y5" i="2"/>
  <c r="AA5" i="2" s="1"/>
  <c r="Y6" i="2"/>
  <c r="AA6" i="2" s="1"/>
  <c r="J2" i="2"/>
  <c r="AA7" i="2" s="1"/>
  <c r="Y8" i="2"/>
  <c r="AA8" i="2" s="1"/>
  <c r="Y9" i="2"/>
  <c r="AA9" i="2" s="1"/>
  <c r="Y10" i="2"/>
  <c r="AA10" i="2" s="1"/>
  <c r="Y11" i="2"/>
  <c r="AA11" i="2" s="1"/>
  <c r="Y12" i="2"/>
  <c r="AA12" i="2" s="1"/>
  <c r="Y13" i="2"/>
  <c r="AA13" i="2" s="1"/>
  <c r="Y14" i="2"/>
  <c r="AA14" i="2" s="1"/>
  <c r="Y15" i="2"/>
  <c r="AA15" i="2" s="1"/>
  <c r="Y16" i="2"/>
  <c r="AA16" i="2" s="1"/>
  <c r="AA17" i="2"/>
  <c r="Y18" i="2"/>
  <c r="AA18" i="2" s="1"/>
  <c r="Y19" i="2"/>
  <c r="AA19" i="2" s="1"/>
  <c r="Y20" i="2"/>
  <c r="AA20" i="2" s="1"/>
  <c r="Y21" i="2"/>
  <c r="AA21" i="2" s="1"/>
  <c r="Y22" i="2"/>
  <c r="AA22" i="2" s="1"/>
  <c r="Y23" i="2"/>
  <c r="AA23" i="2" s="1"/>
  <c r="Y24" i="2"/>
  <c r="AA24" i="2" s="1"/>
  <c r="Y25" i="2"/>
  <c r="AA25" i="2" s="1"/>
  <c r="Y26" i="2"/>
  <c r="AA26" i="2" s="1"/>
  <c r="Y27" i="2"/>
  <c r="AA27" i="2" s="1"/>
  <c r="Y28" i="2"/>
  <c r="AA28" i="2" s="1"/>
  <c r="Y29" i="2"/>
  <c r="AA29" i="2" s="1"/>
  <c r="Y30" i="2"/>
  <c r="AA30" i="2" s="1"/>
  <c r="Y31" i="2"/>
  <c r="AA31" i="2" s="1"/>
  <c r="Y32" i="2"/>
  <c r="AA32" i="2" s="1"/>
  <c r="Y33" i="2"/>
  <c r="AA33" i="2" s="1"/>
  <c r="Y34" i="2"/>
  <c r="AA34" i="2" s="1"/>
  <c r="Y35" i="2"/>
  <c r="AA35" i="2" s="1"/>
  <c r="Y36" i="2"/>
  <c r="AA36" i="2" s="1"/>
  <c r="Y37" i="2"/>
  <c r="AA37" i="2" s="1"/>
  <c r="Y38" i="2"/>
  <c r="AA38" i="2" s="1"/>
  <c r="Y39" i="2"/>
  <c r="AA39" i="2" s="1"/>
  <c r="Y40" i="2"/>
  <c r="AA40" i="2" s="1"/>
  <c r="Y41" i="2"/>
  <c r="AA41" i="2" s="1"/>
  <c r="Y42" i="2"/>
  <c r="AA42" i="2" s="1"/>
  <c r="Y43" i="2"/>
  <c r="AA43" i="2" s="1"/>
  <c r="Y44" i="2"/>
  <c r="AA44" i="2" s="1"/>
  <c r="Y45" i="2"/>
  <c r="AA45" i="2" s="1"/>
  <c r="Y46" i="2"/>
  <c r="AA46" i="2" s="1"/>
  <c r="Y47" i="2"/>
  <c r="AA47" i="2" s="1"/>
  <c r="Y48" i="2"/>
  <c r="AA48" i="2" s="1"/>
  <c r="Y49" i="2"/>
  <c r="AA49" i="2" s="1"/>
  <c r="Y50" i="2"/>
  <c r="AA50" i="2" s="1"/>
  <c r="Y51" i="2"/>
  <c r="AA51" i="2" s="1"/>
  <c r="Y52" i="2"/>
  <c r="AA52" i="2" s="1"/>
  <c r="Y53" i="2"/>
  <c r="AA53" i="2" s="1"/>
  <c r="Y54" i="2"/>
  <c r="AA54" i="2" s="1"/>
  <c r="Y55" i="2"/>
  <c r="AA55" i="2" s="1"/>
  <c r="Y56" i="2"/>
  <c r="AA56" i="2" s="1"/>
  <c r="Y57" i="2"/>
  <c r="AA57" i="2" s="1"/>
  <c r="Y58" i="2"/>
  <c r="AA58" i="2" s="1"/>
  <c r="Y59" i="2"/>
  <c r="AA59" i="2" s="1"/>
  <c r="Y60" i="2"/>
  <c r="AA60" i="2" s="1"/>
  <c r="Y61" i="2"/>
  <c r="AA61" i="2" s="1"/>
  <c r="Y62" i="2"/>
  <c r="AA62" i="2" s="1"/>
  <c r="Y63" i="2"/>
  <c r="AA63" i="2" s="1"/>
  <c r="Y64" i="2"/>
  <c r="AA64" i="2" s="1"/>
  <c r="Y65" i="2"/>
  <c r="AA65" i="2" s="1"/>
  <c r="Y66" i="2"/>
  <c r="AA66" i="2" s="1"/>
  <c r="Y67" i="2"/>
  <c r="AA67" i="2" s="1"/>
  <c r="Y68" i="2"/>
  <c r="AA68" i="2" s="1"/>
  <c r="Y69" i="2"/>
  <c r="AA69" i="2" s="1"/>
  <c r="Y70" i="2"/>
  <c r="AA70" i="2" s="1"/>
  <c r="Y71" i="2"/>
  <c r="AA71" i="2" s="1"/>
  <c r="Y72" i="2"/>
  <c r="AA72" i="2" s="1"/>
  <c r="Y73" i="2"/>
  <c r="AA73" i="2" s="1"/>
  <c r="Y74" i="2"/>
  <c r="AA74" i="2" s="1"/>
  <c r="Y75" i="2"/>
  <c r="AA75" i="2" s="1"/>
  <c r="Y76" i="2"/>
  <c r="AA76" i="2" s="1"/>
  <c r="Y77" i="2"/>
  <c r="AA77" i="2" s="1"/>
  <c r="Y78" i="2"/>
  <c r="AA78" i="2" s="1"/>
  <c r="Y79" i="2"/>
  <c r="AA79" i="2" s="1"/>
  <c r="Y80" i="2"/>
  <c r="AA80" i="2" s="1"/>
  <c r="Y81" i="2"/>
  <c r="AA81" i="2" s="1"/>
  <c r="Y82" i="2"/>
  <c r="AA82" i="2" s="1"/>
  <c r="Y83" i="2"/>
  <c r="AA83" i="2" s="1"/>
  <c r="Y84" i="2"/>
  <c r="AA84" i="2" s="1"/>
  <c r="Y85" i="2"/>
  <c r="AA85" i="2" s="1"/>
  <c r="Y86" i="2"/>
  <c r="AA86" i="2" s="1"/>
  <c r="Y87" i="2"/>
  <c r="AA87" i="2" s="1"/>
  <c r="Y88" i="2"/>
  <c r="AA88" i="2" s="1"/>
  <c r="Y89" i="2"/>
  <c r="AA89" i="2" s="1"/>
  <c r="Y90" i="2"/>
  <c r="AA90" i="2" s="1"/>
  <c r="Y91" i="2"/>
  <c r="AA91" i="2" s="1"/>
  <c r="Y92" i="2"/>
  <c r="AA92" i="2" s="1"/>
  <c r="Y93" i="2"/>
  <c r="AA93" i="2" s="1"/>
  <c r="Y94" i="2"/>
  <c r="AA94" i="2" s="1"/>
  <c r="Y95" i="2"/>
  <c r="AA95" i="2" s="1"/>
  <c r="Y96" i="2"/>
  <c r="AA96" i="2" s="1"/>
  <c r="Y97" i="2"/>
  <c r="AA97" i="2" s="1"/>
  <c r="Y98" i="2"/>
  <c r="AA98" i="2" s="1"/>
  <c r="Y99" i="2"/>
  <c r="AA99" i="2" s="1"/>
  <c r="Y100" i="2"/>
  <c r="AA100" i="2" s="1"/>
  <c r="Y101" i="2"/>
  <c r="AA101" i="2" s="1"/>
  <c r="Y102" i="2"/>
  <c r="AA102" i="2" s="1"/>
  <c r="Y103" i="2"/>
  <c r="AA103" i="2" s="1"/>
  <c r="Y104" i="2"/>
  <c r="AA104" i="2" s="1"/>
  <c r="Y105" i="2"/>
  <c r="AA105" i="2" s="1"/>
  <c r="Y106" i="2"/>
  <c r="AA106" i="2" s="1"/>
  <c r="Y107" i="2"/>
  <c r="AA107" i="2" s="1"/>
  <c r="Y108" i="2"/>
  <c r="AA108" i="2" s="1"/>
  <c r="Y109" i="2"/>
  <c r="AA109" i="2" s="1"/>
  <c r="Y110" i="2"/>
  <c r="AA110" i="2" s="1"/>
  <c r="Y111" i="2"/>
  <c r="AA111" i="2" s="1"/>
  <c r="Y112" i="2"/>
  <c r="AA112" i="2" s="1"/>
  <c r="Y113" i="2"/>
  <c r="AA113" i="2" s="1"/>
  <c r="Y114" i="2"/>
  <c r="AA114" i="2" s="1"/>
  <c r="Y115" i="2"/>
  <c r="AA115" i="2" s="1"/>
  <c r="Y116" i="2"/>
  <c r="AA116" i="2" s="1"/>
  <c r="Y117" i="2"/>
  <c r="AA117" i="2" s="1"/>
  <c r="Y118" i="2"/>
  <c r="AA118" i="2" s="1"/>
  <c r="Y119" i="2"/>
  <c r="AA119" i="2" s="1"/>
  <c r="Y120" i="2"/>
  <c r="AA120" i="2" s="1"/>
  <c r="Y121" i="2"/>
  <c r="AA121" i="2" s="1"/>
  <c r="Y122" i="2"/>
  <c r="AA122" i="2" s="1"/>
  <c r="Y123" i="2"/>
  <c r="AA123" i="2" s="1"/>
  <c r="Y124" i="2"/>
  <c r="AA124" i="2" s="1"/>
  <c r="Y125" i="2"/>
  <c r="AA125" i="2" s="1"/>
  <c r="Y126" i="2"/>
  <c r="AA126" i="2" s="1"/>
  <c r="Y127" i="2"/>
  <c r="AA127" i="2" s="1"/>
  <c r="Y128" i="2"/>
  <c r="AA128" i="2" s="1"/>
  <c r="Y129" i="2"/>
  <c r="AA129" i="2" s="1"/>
  <c r="Y130" i="2"/>
  <c r="AA130" i="2" s="1"/>
  <c r="Y131" i="2"/>
  <c r="AA131" i="2" s="1"/>
  <c r="Y132" i="2"/>
  <c r="AA132" i="2" s="1"/>
  <c r="Y133" i="2"/>
  <c r="AA133" i="2" s="1"/>
  <c r="Y134" i="2"/>
  <c r="AA134" i="2" s="1"/>
  <c r="Y135" i="2"/>
  <c r="AA135" i="2" s="1"/>
  <c r="Y136" i="2"/>
  <c r="AA136" i="2" s="1"/>
  <c r="Y137" i="2"/>
  <c r="AA137" i="2" s="1"/>
  <c r="Y138" i="2"/>
  <c r="AA138" i="2" s="1"/>
  <c r="Y139" i="2"/>
  <c r="AA139" i="2" s="1"/>
  <c r="Y140" i="2"/>
  <c r="AA140" i="2" s="1"/>
  <c r="Y141" i="2"/>
  <c r="AA141" i="2" s="1"/>
  <c r="Y142" i="2"/>
  <c r="AA142" i="2" s="1"/>
  <c r="Y143" i="2"/>
  <c r="AA143" i="2" s="1"/>
  <c r="Y144" i="2"/>
  <c r="AA144" i="2" s="1"/>
  <c r="Y145" i="2"/>
  <c r="AA145" i="2" s="1"/>
  <c r="Y146" i="2"/>
  <c r="AA146" i="2" s="1"/>
  <c r="Y147" i="2"/>
  <c r="AA147" i="2" s="1"/>
  <c r="Y148" i="2"/>
  <c r="AA148" i="2" s="1"/>
  <c r="Y149" i="2"/>
  <c r="AA149" i="2" s="1"/>
  <c r="Y150" i="2"/>
  <c r="AA150" i="2" s="1"/>
  <c r="Y151" i="2"/>
  <c r="AA151" i="2" s="1"/>
  <c r="Y152" i="2"/>
  <c r="AA152" i="2" s="1"/>
  <c r="Y153" i="2"/>
  <c r="AA153" i="2" s="1"/>
  <c r="Y154" i="2"/>
  <c r="AA154" i="2" s="1"/>
  <c r="Y155" i="2"/>
  <c r="AA155" i="2" s="1"/>
  <c r="Y156" i="2"/>
  <c r="AA156" i="2" s="1"/>
  <c r="Y157" i="2"/>
  <c r="AA157" i="2" s="1"/>
  <c r="Y158" i="2"/>
  <c r="AA158" i="2" s="1"/>
  <c r="Y159" i="2"/>
  <c r="AA159" i="2" s="1"/>
  <c r="Y160" i="2"/>
  <c r="AA160" i="2" s="1"/>
  <c r="Y161" i="2"/>
  <c r="AA161" i="2" s="1"/>
  <c r="Y162" i="2"/>
  <c r="AA162" i="2" s="1"/>
  <c r="Y163" i="2"/>
  <c r="AA163" i="2" s="1"/>
  <c r="Y164" i="2"/>
  <c r="AA164" i="2" s="1"/>
  <c r="Y165" i="2"/>
  <c r="AA165" i="2" s="1"/>
  <c r="Y166" i="2"/>
  <c r="AA166" i="2" s="1"/>
  <c r="Y167" i="2"/>
  <c r="AA167" i="2" s="1"/>
  <c r="Y168" i="2"/>
  <c r="AA168" i="2" s="1"/>
  <c r="Y169" i="2"/>
  <c r="AA169" i="2" s="1"/>
  <c r="Y170" i="2"/>
  <c r="AA170" i="2" s="1"/>
  <c r="Y171" i="2"/>
  <c r="AA171" i="2" s="1"/>
  <c r="Y172" i="2"/>
  <c r="AA172" i="2" s="1"/>
  <c r="Y173" i="2"/>
  <c r="AA173" i="2" s="1"/>
  <c r="Y174" i="2"/>
  <c r="AA174" i="2" s="1"/>
  <c r="Y175" i="2"/>
  <c r="AA175" i="2" s="1"/>
  <c r="Y176" i="2"/>
  <c r="AA176" i="2" s="1"/>
  <c r="Y177" i="2"/>
  <c r="AA177" i="2" s="1"/>
  <c r="Y178" i="2"/>
  <c r="AA178" i="2" s="1"/>
  <c r="Y179" i="2"/>
  <c r="AA179" i="2" s="1"/>
  <c r="Y180" i="2"/>
  <c r="AA180" i="2" s="1"/>
  <c r="Y181" i="2"/>
  <c r="AA181" i="2" s="1"/>
  <c r="Y182" i="2"/>
  <c r="AA182" i="2" s="1"/>
  <c r="Y183" i="2"/>
  <c r="AA183" i="2" s="1"/>
  <c r="Y184" i="2"/>
  <c r="AA184" i="2" s="1"/>
  <c r="Y185" i="2"/>
  <c r="AA185" i="2" s="1"/>
  <c r="Y186" i="2"/>
  <c r="AA186" i="2" s="1"/>
  <c r="Y187" i="2"/>
  <c r="AA187" i="2" s="1"/>
  <c r="Y188" i="2"/>
  <c r="AA188" i="2" s="1"/>
  <c r="Y189" i="2"/>
  <c r="AA189" i="2" s="1"/>
  <c r="Y190" i="2"/>
  <c r="AA190" i="2" s="1"/>
  <c r="Y191" i="2"/>
  <c r="AA191" i="2" s="1"/>
  <c r="Y192" i="2"/>
  <c r="AA192" i="2" s="1"/>
  <c r="Y193" i="2"/>
  <c r="AA193" i="2" s="1"/>
  <c r="Y194" i="2"/>
  <c r="AA194" i="2" s="1"/>
  <c r="Y195" i="2"/>
  <c r="AA195" i="2" s="1"/>
  <c r="Y196" i="2"/>
  <c r="AA196" i="2" s="1"/>
  <c r="Y197" i="2"/>
  <c r="AA197" i="2" s="1"/>
  <c r="Y198" i="2"/>
  <c r="AA198" i="2" s="1"/>
  <c r="Y199" i="2"/>
  <c r="AA199" i="2" s="1"/>
  <c r="Y200" i="2"/>
  <c r="AA200" i="2" s="1"/>
  <c r="Y201" i="2"/>
  <c r="AA201" i="2" s="1"/>
  <c r="Y202" i="2"/>
  <c r="AA202" i="2" s="1"/>
  <c r="Y203" i="2"/>
  <c r="AA203" i="2" s="1"/>
  <c r="Y204" i="2"/>
  <c r="AA204" i="2" s="1"/>
  <c r="Y205" i="2"/>
  <c r="AA205" i="2" s="1"/>
  <c r="Y206" i="2"/>
  <c r="AA206" i="2" s="1"/>
  <c r="Y207" i="2"/>
  <c r="AA207" i="2" s="1"/>
  <c r="Y208" i="2"/>
  <c r="AA208" i="2" s="1"/>
  <c r="Y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3" i="2"/>
  <c r="M3" i="2" a="1"/>
  <c r="M3" i="2" s="1"/>
  <c r="N3" i="2" a="1"/>
  <c r="N3" i="2" s="1"/>
  <c r="K146" i="2" l="1"/>
  <c r="K145" i="2"/>
  <c r="K75" i="2"/>
  <c r="K85" i="2"/>
  <c r="K74" i="2"/>
  <c r="K135" i="2"/>
  <c r="K51" i="2"/>
  <c r="K122" i="2"/>
  <c r="K38" i="2"/>
  <c r="K181" i="2"/>
  <c r="K98" i="2"/>
  <c r="K37" i="2"/>
  <c r="K195" i="2"/>
  <c r="K50" i="2"/>
  <c r="K99" i="2"/>
  <c r="K171" i="2"/>
  <c r="K97" i="2"/>
  <c r="K27" i="2"/>
  <c r="K134" i="2"/>
  <c r="K133" i="2"/>
  <c r="K193" i="2"/>
  <c r="K123" i="2"/>
  <c r="K39" i="2"/>
  <c r="K182" i="2"/>
  <c r="K170" i="2"/>
  <c r="K87" i="2"/>
  <c r="K26" i="2"/>
  <c r="K194" i="2"/>
  <c r="K49" i="2"/>
  <c r="K183" i="2"/>
  <c r="K147" i="2"/>
  <c r="K86" i="2"/>
  <c r="K13" i="2"/>
  <c r="K169" i="2"/>
  <c r="K121" i="2"/>
  <c r="K73" i="2"/>
  <c r="K25" i="2"/>
  <c r="K207" i="2"/>
  <c r="K159" i="2"/>
  <c r="K111" i="2"/>
  <c r="K63" i="2"/>
  <c r="K15" i="2"/>
  <c r="K206" i="2"/>
  <c r="K158" i="2"/>
  <c r="K110" i="2"/>
  <c r="K62" i="2"/>
  <c r="K14" i="2"/>
  <c r="K205" i="2"/>
  <c r="K157" i="2"/>
  <c r="K109" i="2"/>
  <c r="K61" i="2"/>
  <c r="K36" i="2"/>
  <c r="K47" i="2"/>
  <c r="K46" i="2"/>
  <c r="K199" i="2"/>
  <c r="K187" i="2"/>
  <c r="K175" i="2"/>
  <c r="K163" i="2"/>
  <c r="K151" i="2"/>
  <c r="K139" i="2"/>
  <c r="K127" i="2"/>
  <c r="K115" i="2"/>
  <c r="K103" i="2"/>
  <c r="K91" i="2"/>
  <c r="K79" i="2"/>
  <c r="K67" i="2"/>
  <c r="K55" i="2"/>
  <c r="K43" i="2"/>
  <c r="K31" i="2"/>
  <c r="K19" i="2"/>
  <c r="K7" i="2"/>
  <c r="K180" i="2"/>
  <c r="K156" i="2"/>
  <c r="K120" i="2"/>
  <c r="K96" i="2"/>
  <c r="K72" i="2"/>
  <c r="K12" i="2"/>
  <c r="K167" i="2"/>
  <c r="K143" i="2"/>
  <c r="K107" i="2"/>
  <c r="K83" i="2"/>
  <c r="K59" i="2"/>
  <c r="K35" i="2"/>
  <c r="K202" i="2"/>
  <c r="K178" i="2"/>
  <c r="K154" i="2"/>
  <c r="K130" i="2"/>
  <c r="K106" i="2"/>
  <c r="K82" i="2"/>
  <c r="K58" i="2"/>
  <c r="K34" i="2"/>
  <c r="K189" i="2"/>
  <c r="K165" i="2"/>
  <c r="K141" i="2"/>
  <c r="K117" i="2"/>
  <c r="K93" i="2"/>
  <c r="K69" i="2"/>
  <c r="K45" i="2"/>
  <c r="K21" i="2"/>
  <c r="K188" i="2"/>
  <c r="K164" i="2"/>
  <c r="K140" i="2"/>
  <c r="K116" i="2"/>
  <c r="K92" i="2"/>
  <c r="K80" i="2"/>
  <c r="K56" i="2"/>
  <c r="K44" i="2"/>
  <c r="K32" i="2"/>
  <c r="K8" i="2"/>
  <c r="K198" i="2"/>
  <c r="K186" i="2"/>
  <c r="K174" i="2"/>
  <c r="K162" i="2"/>
  <c r="K150" i="2"/>
  <c r="K138" i="2"/>
  <c r="K126" i="2"/>
  <c r="K114" i="2"/>
  <c r="K102" i="2"/>
  <c r="K90" i="2"/>
  <c r="K78" i="2"/>
  <c r="K66" i="2"/>
  <c r="K54" i="2"/>
  <c r="K42" i="2"/>
  <c r="K30" i="2"/>
  <c r="K18" i="2"/>
  <c r="K6" i="2"/>
  <c r="K204" i="2"/>
  <c r="K144" i="2"/>
  <c r="K48" i="2"/>
  <c r="K191" i="2"/>
  <c r="K131" i="2"/>
  <c r="K23" i="2"/>
  <c r="K22" i="2"/>
  <c r="K33" i="2"/>
  <c r="K200" i="2"/>
  <c r="K176" i="2"/>
  <c r="K152" i="2"/>
  <c r="K128" i="2"/>
  <c r="K104" i="2"/>
  <c r="K68" i="2"/>
  <c r="K20" i="2"/>
  <c r="K197" i="2"/>
  <c r="K185" i="2"/>
  <c r="K173" i="2"/>
  <c r="K161" i="2"/>
  <c r="K149" i="2"/>
  <c r="K137" i="2"/>
  <c r="K125" i="2"/>
  <c r="K113" i="2"/>
  <c r="K101" i="2"/>
  <c r="K89" i="2"/>
  <c r="K77" i="2"/>
  <c r="K65" i="2"/>
  <c r="K53" i="2"/>
  <c r="K41" i="2"/>
  <c r="K29" i="2"/>
  <c r="K17" i="2"/>
  <c r="K5" i="2"/>
  <c r="K192" i="2"/>
  <c r="K168" i="2"/>
  <c r="K132" i="2"/>
  <c r="K108" i="2"/>
  <c r="K84" i="2"/>
  <c r="K60" i="2"/>
  <c r="K24" i="2"/>
  <c r="K203" i="2"/>
  <c r="K179" i="2"/>
  <c r="K155" i="2"/>
  <c r="K119" i="2"/>
  <c r="K95" i="2"/>
  <c r="K71" i="2"/>
  <c r="K11" i="2"/>
  <c r="K190" i="2"/>
  <c r="K166" i="2"/>
  <c r="K142" i="2"/>
  <c r="K118" i="2"/>
  <c r="K94" i="2"/>
  <c r="K70" i="2"/>
  <c r="K10" i="2"/>
  <c r="K201" i="2"/>
  <c r="K177" i="2"/>
  <c r="K153" i="2"/>
  <c r="K129" i="2"/>
  <c r="K105" i="2"/>
  <c r="K81" i="2"/>
  <c r="K57" i="2"/>
  <c r="K9" i="2"/>
  <c r="K208" i="2"/>
  <c r="K196" i="2"/>
  <c r="K184" i="2"/>
  <c r="K172" i="2"/>
  <c r="K160" i="2"/>
  <c r="K148" i="2"/>
  <c r="K136" i="2"/>
  <c r="K124" i="2"/>
  <c r="K112" i="2"/>
  <c r="K100" i="2"/>
  <c r="K88" i="2"/>
  <c r="K76" i="2"/>
  <c r="K64" i="2"/>
  <c r="K52" i="2"/>
  <c r="K40" i="2"/>
  <c r="K28" i="2"/>
  <c r="K16" i="2"/>
  <c r="K4" i="2"/>
  <c r="K3" i="2"/>
  <c r="Q3" i="2" a="1"/>
  <c r="Q3" i="2" s="1"/>
  <c r="P3" i="2" a="1"/>
  <c r="P3" i="2" s="1"/>
  <c r="AA3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<sst xmlns="http://schemas.openxmlformats.org/spreadsheetml/2006/main" count="7697" uniqueCount="3640">
  <si>
    <t>first_name</t>
  </si>
  <si>
    <t>last_name</t>
  </si>
  <si>
    <t>date_of_birth</t>
  </si>
  <si>
    <t>gender</t>
  </si>
  <si>
    <t>contact_number</t>
  </si>
  <si>
    <t>email</t>
  </si>
  <si>
    <t>address</t>
  </si>
  <si>
    <t>aadhaar_number</t>
  </si>
  <si>
    <t>pan_number</t>
  </si>
  <si>
    <t>Bhalla</t>
  </si>
  <si>
    <t>Other</t>
  </si>
  <si>
    <t>chopramehul@ramachandran.com</t>
  </si>
  <si>
    <t>94, Sibal Nagar, Bhusawal-423511</t>
  </si>
  <si>
    <t>ONxKm6184</t>
  </si>
  <si>
    <t>Banerjee</t>
  </si>
  <si>
    <t>Male</t>
  </si>
  <si>
    <t>lakshay41@hotmail.com</t>
  </si>
  <si>
    <t>764, Choudhary Circle
Pimpri-Chinchwad-056413</t>
  </si>
  <si>
    <t>BLzxo8849</t>
  </si>
  <si>
    <t>Kumar</t>
  </si>
  <si>
    <t>ishita01@hotmail.com</t>
  </si>
  <si>
    <t>H.No. 462
Agarwal Chowk, Orai 814893</t>
  </si>
  <si>
    <t>dpKff1543</t>
  </si>
  <si>
    <t>Kibe</t>
  </si>
  <si>
    <t>riyadugal@sampath-sachar.com</t>
  </si>
  <si>
    <t>H.No. 331
Anne Path, Giridih-010310</t>
  </si>
  <si>
    <t>ZAmgg9737</t>
  </si>
  <si>
    <t>Kale</t>
  </si>
  <si>
    <t>Female</t>
  </si>
  <si>
    <t>bboase@dewan.com</t>
  </si>
  <si>
    <t>10/80
Shetty Zila
Rourkela 773602</t>
  </si>
  <si>
    <t>LVIdV3430</t>
  </si>
  <si>
    <t>Balakrishnan</t>
  </si>
  <si>
    <t>yuvaanbhasin@dasgupta.com</t>
  </si>
  <si>
    <t>99/854
Sami Ganj
Mathura 624751</t>
  </si>
  <si>
    <t>xskCI2513</t>
  </si>
  <si>
    <t>Dora</t>
  </si>
  <si>
    <t>raunak93@garg.com</t>
  </si>
  <si>
    <t>H.No. 164
Agarwal Nagar, Bikaner-278680</t>
  </si>
  <si>
    <t>YcwnR2045</t>
  </si>
  <si>
    <t>Sama</t>
  </si>
  <si>
    <t>qsuresh@hotmail.com</t>
  </si>
  <si>
    <t>160
Choudhry Chowk
Jaunpur-433036</t>
  </si>
  <si>
    <t>qcgMB1429</t>
  </si>
  <si>
    <t>Sethi</t>
  </si>
  <si>
    <t>tejaskale@salvi.org</t>
  </si>
  <si>
    <t>48/465, Sarin Marg, Begusarai 366299</t>
  </si>
  <si>
    <t>RnGEY5777</t>
  </si>
  <si>
    <t>Shah</t>
  </si>
  <si>
    <t>bajajnirvaan@ramaswamy-varghese.com</t>
  </si>
  <si>
    <t>93/676
Borah Ganj, Aligarh-328708</t>
  </si>
  <si>
    <t>CkVEC9868</t>
  </si>
  <si>
    <t>Sheth</t>
  </si>
  <si>
    <t>hrishita12@gmail.com</t>
  </si>
  <si>
    <t>23/166
Madan Path
Vijayanagaram-366909</t>
  </si>
  <si>
    <t>BFbyv3734</t>
  </si>
  <si>
    <t>Sane</t>
  </si>
  <si>
    <t>dbir@bakshi.biz</t>
  </si>
  <si>
    <t>55, Dewan Marg, Nizamabad 708053</t>
  </si>
  <si>
    <t>DSqXx7193</t>
  </si>
  <si>
    <t>Raman</t>
  </si>
  <si>
    <t>rajagopalanprisha@dara.com</t>
  </si>
  <si>
    <t>H.No. 86, Banerjee Path
Ahmedabad 716572</t>
  </si>
  <si>
    <t>rCpWD4531</t>
  </si>
  <si>
    <t>Ramaswamy</t>
  </si>
  <si>
    <t>ivana08@gmail.com</t>
  </si>
  <si>
    <t>67/837, Kapur Chowk
Tiruchirappalli 363495</t>
  </si>
  <si>
    <t>UmuhV4431</t>
  </si>
  <si>
    <t>Singh</t>
  </si>
  <si>
    <t>taranchakraborty@yahoo.com</t>
  </si>
  <si>
    <t>H.No. 00, Dhingra Circle
Pallavaram 094777</t>
  </si>
  <si>
    <t>ZKtfp9022</t>
  </si>
  <si>
    <t>Mallick</t>
  </si>
  <si>
    <t>jiya90@hotmail.com</t>
  </si>
  <si>
    <t>34/123, Majumdar Street
Sangli-Miraj &amp; Kupwad 679740</t>
  </si>
  <si>
    <t>rjedk1832</t>
  </si>
  <si>
    <t>Dube</t>
  </si>
  <si>
    <t>mbaria@gmail.com</t>
  </si>
  <si>
    <t>40/13
Raj, Agartala-278742</t>
  </si>
  <si>
    <t>sQzWJ2567</t>
  </si>
  <si>
    <t>Karan</t>
  </si>
  <si>
    <t>misha77@chaudry.net</t>
  </si>
  <si>
    <t>71
Rau Nagar
Kozhikode-808613</t>
  </si>
  <si>
    <t>jymMG7378</t>
  </si>
  <si>
    <t>Wable</t>
  </si>
  <si>
    <t>alialuthra@yahoo.com</t>
  </si>
  <si>
    <t>86/75
Sarkar Ganj, Aurangabad 360576</t>
  </si>
  <si>
    <t>UjAPj1870</t>
  </si>
  <si>
    <t>Keer</t>
  </si>
  <si>
    <t>dalalmohanlal@dhawan.com</t>
  </si>
  <si>
    <t>17/240, Gaba Nagar, Durg-562386</t>
  </si>
  <si>
    <t>OqDqQ9237</t>
  </si>
  <si>
    <t>Yogi</t>
  </si>
  <si>
    <t>kiaan67@gmail.com</t>
  </si>
  <si>
    <t>59/44
Thakkar Nagar
Panipat-909743</t>
  </si>
  <si>
    <t>Uifsu7095</t>
  </si>
  <si>
    <t>Johal</t>
  </si>
  <si>
    <t>kaurdhanuk@gmail.com</t>
  </si>
  <si>
    <t>51/60
Loyal Road
Malda-496513</t>
  </si>
  <si>
    <t>ctFhg6120</t>
  </si>
  <si>
    <t>Wali</t>
  </si>
  <si>
    <t>arhaan53@yahoo.com</t>
  </si>
  <si>
    <t>H.No. 15, Yohannan Circle, Ghaziabad-431713</t>
  </si>
  <si>
    <t>vXjYM3933</t>
  </si>
  <si>
    <t>Devi</t>
  </si>
  <si>
    <t>chahalprerak@gmail.com</t>
  </si>
  <si>
    <t>11/77
Kunda Path
Bidhannagar-908470</t>
  </si>
  <si>
    <t>rNOLJ9212</t>
  </si>
  <si>
    <t>Gaba</t>
  </si>
  <si>
    <t>owali@yahoo.com</t>
  </si>
  <si>
    <t>61
Kala Path, Rohtak 271111</t>
  </si>
  <si>
    <t>UdsMt1656</t>
  </si>
  <si>
    <t>Ben</t>
  </si>
  <si>
    <t>juppal@rana.net</t>
  </si>
  <si>
    <t>H.No. 244
Gill Path
Bokaro 961201</t>
  </si>
  <si>
    <t>jkWNd9910</t>
  </si>
  <si>
    <t>Baria</t>
  </si>
  <si>
    <t>dharparinaaz@hotmail.com</t>
  </si>
  <si>
    <t>H.No. 369
Aggarwal Nagar, Barasat-244510</t>
  </si>
  <si>
    <t>bDeuK1606</t>
  </si>
  <si>
    <t>Mangat</t>
  </si>
  <si>
    <t>guppal@kamdar.biz</t>
  </si>
  <si>
    <t>H.No. 53
Sood Path
Solapur 883552</t>
  </si>
  <si>
    <t>CRKPO7799</t>
  </si>
  <si>
    <t>Edwin</t>
  </si>
  <si>
    <t>anahi70@gour.com</t>
  </si>
  <si>
    <t>98
Kar Nagar
Pondicherry 820715</t>
  </si>
  <si>
    <t>yAXvR2554</t>
  </si>
  <si>
    <t>Bal</t>
  </si>
  <si>
    <t>mannenitara@gmail.com</t>
  </si>
  <si>
    <t>62/914
Guha Circle, Warangal 685054</t>
  </si>
  <si>
    <t>cQvXN1888</t>
  </si>
  <si>
    <t>Raju</t>
  </si>
  <si>
    <t>idada@gmail.com</t>
  </si>
  <si>
    <t>597
Sodhi Chowk, Eluru 239240</t>
  </si>
  <si>
    <t>foCwb7826</t>
  </si>
  <si>
    <t>Bala</t>
  </si>
  <si>
    <t>armaandhar@sarin-thakur.com</t>
  </si>
  <si>
    <t>01/04
Tiwari Ganj, Motihari-143410</t>
  </si>
  <si>
    <t>sBaNw8932</t>
  </si>
  <si>
    <t>Mangal</t>
  </si>
  <si>
    <t>obains@yahoo.com</t>
  </si>
  <si>
    <t>05/153
Som Zila, Guntur 585277</t>
  </si>
  <si>
    <t>IEqcW5486</t>
  </si>
  <si>
    <t>Chandran</t>
  </si>
  <si>
    <t>fsaraf@sur-lad.com</t>
  </si>
  <si>
    <t>H.No. 692
Din Circle
Kota 544796</t>
  </si>
  <si>
    <t>ZVRkb1658</t>
  </si>
  <si>
    <t>Vala</t>
  </si>
  <si>
    <t>xgoyal@singh-barad.org</t>
  </si>
  <si>
    <t>54
Bhandari Ganj
Gaya-868144</t>
  </si>
  <si>
    <t>QwTeJ2715</t>
  </si>
  <si>
    <t>Dhillon</t>
  </si>
  <si>
    <t>anahita82@hotmail.com</t>
  </si>
  <si>
    <t>H.No. 67, Jha Circle
Ramgarh 251778</t>
  </si>
  <si>
    <t>kuTow8242</t>
  </si>
  <si>
    <t>Wason</t>
  </si>
  <si>
    <t>jayansahni@sem.com</t>
  </si>
  <si>
    <t>H.No. 094, Sinha Ganj
Tadipatri 784473</t>
  </si>
  <si>
    <t>uTuUw3592</t>
  </si>
  <si>
    <t>Bhattacharyya</t>
  </si>
  <si>
    <t>bakshiriaan@venkatesh-randhawa.biz</t>
  </si>
  <si>
    <t>H.No. 95, Singh Ganj
Panchkula-747016</t>
  </si>
  <si>
    <t>agBiq9748</t>
  </si>
  <si>
    <t>Goswami</t>
  </si>
  <si>
    <t>ckrishnan@dey.org</t>
  </si>
  <si>
    <t>H.No. 655, Goswami Circle
Davanagere 800025</t>
  </si>
  <si>
    <t>LvGGI2694</t>
  </si>
  <si>
    <t>Sathe</t>
  </si>
  <si>
    <t>neysa99@gmail.com</t>
  </si>
  <si>
    <t>896
Tara Street
Patna 307562</t>
  </si>
  <si>
    <t>yulDI8578</t>
  </si>
  <si>
    <t>Mahajan</t>
  </si>
  <si>
    <t>prishasarraf@yahoo.com</t>
  </si>
  <si>
    <t>H.No. 84
Bhat Road, Tenali 240415</t>
  </si>
  <si>
    <t>pdQHo1993</t>
  </si>
  <si>
    <t>Dada</t>
  </si>
  <si>
    <t>tanyadhawan@yahoo.com</t>
  </si>
  <si>
    <t>H.No. 938, Chahal Nagar, Belgaum 672400</t>
  </si>
  <si>
    <t>mZhvk2874</t>
  </si>
  <si>
    <t>Karnik</t>
  </si>
  <si>
    <t>iyeroorja@gmail.com</t>
  </si>
  <si>
    <t>53, De Nagar
Noida-454990</t>
  </si>
  <si>
    <t>NooiE4145</t>
  </si>
  <si>
    <t>dhanuk91@gmail.com</t>
  </si>
  <si>
    <t>587, Sangha Zila
Ballia-187072</t>
  </si>
  <si>
    <t>ecBwS4039</t>
  </si>
  <si>
    <t>Madan</t>
  </si>
  <si>
    <t>rbaria@hotmail.com</t>
  </si>
  <si>
    <t>H.No. 286
Bhatt Circle
Delhi-478686</t>
  </si>
  <si>
    <t>egMcC9033</t>
  </si>
  <si>
    <t>Samra</t>
  </si>
  <si>
    <t>sanamani@yahoo.com</t>
  </si>
  <si>
    <t>H.No. 28, Jhaveri Ganj, Panipat 892687</t>
  </si>
  <si>
    <t>otTjZ2873</t>
  </si>
  <si>
    <t>divij83@gmail.com</t>
  </si>
  <si>
    <t>99/013
Sengupta, Nangloi Jat 540331</t>
  </si>
  <si>
    <t>qxGFD7854</t>
  </si>
  <si>
    <t>Suri</t>
  </si>
  <si>
    <t>jdivan@gmail.com</t>
  </si>
  <si>
    <t>93, Maharaj Chowk, Bardhaman 772522</t>
  </si>
  <si>
    <t>TjanG6231</t>
  </si>
  <si>
    <t>Grover</t>
  </si>
  <si>
    <t>advik86@gmail.com</t>
  </si>
  <si>
    <t>23/39, Date Circle
Shimoga 156793</t>
  </si>
  <si>
    <t>FBPYv0021</t>
  </si>
  <si>
    <t>Varughese</t>
  </si>
  <si>
    <t>sakshamanand@raj.biz</t>
  </si>
  <si>
    <t>939
Sandhu Marg
Yamunanagar 185016</t>
  </si>
  <si>
    <t>JyBlR7735</t>
  </si>
  <si>
    <t>Sahota</t>
  </si>
  <si>
    <t>emir10@yahoo.com</t>
  </si>
  <si>
    <t>H.No. 12
Chander Zila, Sultan Pur Majra-101581</t>
  </si>
  <si>
    <t>Rykir3982</t>
  </si>
  <si>
    <t>Desai</t>
  </si>
  <si>
    <t>nrajan@karnik.com</t>
  </si>
  <si>
    <t>59, Suri Marg, Gandhidham 692459</t>
  </si>
  <si>
    <t>xhKmL5646</t>
  </si>
  <si>
    <t>Chana</t>
  </si>
  <si>
    <t>nirvi26@bansal-kapur.org</t>
  </si>
  <si>
    <t>86/80
Sarna Path, Moradabad-529096</t>
  </si>
  <si>
    <t>xzDXR9937</t>
  </si>
  <si>
    <t>Sant</t>
  </si>
  <si>
    <t>amani38@yahoo.com</t>
  </si>
  <si>
    <t>H.No. 775
Doctor Zila, Raipur 512382</t>
  </si>
  <si>
    <t>mCLBy6609</t>
  </si>
  <si>
    <t>Sarraf</t>
  </si>
  <si>
    <t>oorja78@dugar.org</t>
  </si>
  <si>
    <t>H.No. 57, Chadha, Srikakulam-251341</t>
  </si>
  <si>
    <t>SPlJk6278</t>
  </si>
  <si>
    <t>Dhawan</t>
  </si>
  <si>
    <t>fsani@yahoo.com</t>
  </si>
  <si>
    <t>190
Dhingra Ganj, Panipat-842797</t>
  </si>
  <si>
    <t>gVPWp7836</t>
  </si>
  <si>
    <t>Vohra</t>
  </si>
  <si>
    <t>mannatboase@gmail.com</t>
  </si>
  <si>
    <t>58/49, Chad Circle
Jalna-948126</t>
  </si>
  <si>
    <t>yCeOY2946</t>
  </si>
  <si>
    <t>Batra</t>
  </si>
  <si>
    <t>bchopra@kota.com</t>
  </si>
  <si>
    <t>92/97
Warrior Path, Ranchi 701277</t>
  </si>
  <si>
    <t>zOtUS1520</t>
  </si>
  <si>
    <t>agrawalrasha@yahoo.com</t>
  </si>
  <si>
    <t>27/136
Setty Zila
Kota 542622</t>
  </si>
  <si>
    <t>fgiWh6973</t>
  </si>
  <si>
    <t>valanirvi@yahoo.com</t>
  </si>
  <si>
    <t>64/037, Bhalla Marg
Panchkula-805526</t>
  </si>
  <si>
    <t>dYzGs0430</t>
  </si>
  <si>
    <t>Sawhney</t>
  </si>
  <si>
    <t>zarabrahmbhatt@gade.com</t>
  </si>
  <si>
    <t>30/316
Karan Zila, Tirupati 102027</t>
  </si>
  <si>
    <t>eqTKO5648</t>
  </si>
  <si>
    <t>Kothari</t>
  </si>
  <si>
    <t>seherkumar@bains.com</t>
  </si>
  <si>
    <t>H.No. 62
Varughese Street
Begusarai 353654</t>
  </si>
  <si>
    <t>XtufJ6174</t>
  </si>
  <si>
    <t>Agrawal</t>
  </si>
  <si>
    <t>aarushjayaraman@dada.com</t>
  </si>
  <si>
    <t>H.No. 641
Lanka Ganj
Gurgaon 024103</t>
  </si>
  <si>
    <t>BQips1990</t>
  </si>
  <si>
    <t>Varghese</t>
  </si>
  <si>
    <t>butalaalisha@dugar-jani.com</t>
  </si>
  <si>
    <t>47, Varkey Road, Mysore 490352</t>
  </si>
  <si>
    <t>pgDgZ6788</t>
  </si>
  <si>
    <t>Boase</t>
  </si>
  <si>
    <t>balikiaan@kapadia.com</t>
  </si>
  <si>
    <t>H.No. 702, Kalita, Mehsana 662532</t>
  </si>
  <si>
    <t>dfryi7687</t>
  </si>
  <si>
    <t>Chaudhry</t>
  </si>
  <si>
    <t>ldeshmukh@gmail.com</t>
  </si>
  <si>
    <t>H.No. 407, Gola Circle, Kozhikode 334803</t>
  </si>
  <si>
    <t>jKmZF0599</t>
  </si>
  <si>
    <t>Dubey</t>
  </si>
  <si>
    <t>zarabhattacharyya@yahoo.com</t>
  </si>
  <si>
    <t>H.No. 029
Soman Street
Hajipur-156915</t>
  </si>
  <si>
    <t>ytUSs5392</t>
  </si>
  <si>
    <t>Chakrabarti</t>
  </si>
  <si>
    <t>vbobal@barad.com</t>
  </si>
  <si>
    <t>57/043, Saraf Ganj
Etawah-100676</t>
  </si>
  <si>
    <t>Zcsbu3271</t>
  </si>
  <si>
    <t>ksachdeva@walia.com</t>
  </si>
  <si>
    <t>368
Deo Circle
Bihar Sharif 106987</t>
  </si>
  <si>
    <t>OsfEh1032</t>
  </si>
  <si>
    <t>Srinivasan</t>
  </si>
  <si>
    <t>deepadvika@yahoo.com</t>
  </si>
  <si>
    <t>H.No. 90, Shetty Street, Guwahati 869380</t>
  </si>
  <si>
    <t>HZKRN6089</t>
  </si>
  <si>
    <t>Bhasin</t>
  </si>
  <si>
    <t>samar11@mall-issac.net</t>
  </si>
  <si>
    <t>70/99
Srinivas Circle, Gorakhpur 229991</t>
  </si>
  <si>
    <t>lrzjN9970</t>
  </si>
  <si>
    <t>Sangha</t>
  </si>
  <si>
    <t>ranbir71@gmail.com</t>
  </si>
  <si>
    <t>75/469
Chandra Zila
Rajpur Sonarpur-785082</t>
  </si>
  <si>
    <t>DdxTm3030</t>
  </si>
  <si>
    <t>Gour</t>
  </si>
  <si>
    <t>shray24@hotmail.com</t>
  </si>
  <si>
    <t>H.No. 602
Sridhar
Korba 346800</t>
  </si>
  <si>
    <t>qnDtR6657</t>
  </si>
  <si>
    <t>Tella</t>
  </si>
  <si>
    <t>vbalay@reddy-gaba.com</t>
  </si>
  <si>
    <t>283
Swaminathan Nagar, Imphal 074466</t>
  </si>
  <si>
    <t>lsgEi8428</t>
  </si>
  <si>
    <t>Dayal</t>
  </si>
  <si>
    <t>anahi17@gmail.com</t>
  </si>
  <si>
    <t>816
Dixit Circle
Meerut 235697</t>
  </si>
  <si>
    <t>KWkFY7432</t>
  </si>
  <si>
    <t>Sridhar</t>
  </si>
  <si>
    <t>abram58@andra.com</t>
  </si>
  <si>
    <t>54/216, Raja Circle
Rourkela-044789</t>
  </si>
  <si>
    <t>nUbLG0332</t>
  </si>
  <si>
    <t>Bhatia</t>
  </si>
  <si>
    <t>joshiahana@bhatia-mahal.com</t>
  </si>
  <si>
    <t>046, Saini Zila, Medininagar-618914</t>
  </si>
  <si>
    <t>JFnSE6420</t>
  </si>
  <si>
    <t>Dalal</t>
  </si>
  <si>
    <t>qdivan@bakshi-bedi.com</t>
  </si>
  <si>
    <t>H.No. 56
Batta Zila
Bangalore 255794</t>
  </si>
  <si>
    <t>iSUdk7621</t>
  </si>
  <si>
    <t>Joshi</t>
  </si>
  <si>
    <t>walizain@yahoo.com</t>
  </si>
  <si>
    <t>H.No. 50, Sinha Circle
Sonipat 637562</t>
  </si>
  <si>
    <t>rdGoJ7535</t>
  </si>
  <si>
    <t>Gulati</t>
  </si>
  <si>
    <t>behlyuvaan@yahoo.com</t>
  </si>
  <si>
    <t>H.No. 994, Mand Circle
Sirsa 503758</t>
  </si>
  <si>
    <t>xSgck5488</t>
  </si>
  <si>
    <t>emir60@toor.com</t>
  </si>
  <si>
    <t>98/270
Shah Circle, Begusarai-978292</t>
  </si>
  <si>
    <t>sCZii3465</t>
  </si>
  <si>
    <t>Ramachandran</t>
  </si>
  <si>
    <t>rheasachar@gmail.com</t>
  </si>
  <si>
    <t>H.No. 87, Mangal, Deoghar 608106</t>
  </si>
  <si>
    <t>wCgNR4380</t>
  </si>
  <si>
    <t>Mand</t>
  </si>
  <si>
    <t>sharafojas@rao.com</t>
  </si>
  <si>
    <t>34/721, Chadha Street, Burhanpur 648422</t>
  </si>
  <si>
    <t>YKJwe0947</t>
  </si>
  <si>
    <t>madhup35@gole-din.com</t>
  </si>
  <si>
    <t>H.No. 573, Rastogi, Thane-616484</t>
  </si>
  <si>
    <t>kXIIa5811</t>
  </si>
  <si>
    <t>Bali</t>
  </si>
  <si>
    <t>bassidevansh@gmail.com</t>
  </si>
  <si>
    <t>19/34
Hari Marg
Machilipatnam-506180</t>
  </si>
  <si>
    <t>yzQbE9147</t>
  </si>
  <si>
    <t>Loke</t>
  </si>
  <si>
    <t>agatekaira@hegde.com</t>
  </si>
  <si>
    <t>53/682, Chanda Street, Tadepalligudem 312908</t>
  </si>
  <si>
    <t>gsNem5523</t>
  </si>
  <si>
    <t>nishith36@trivedi-gole.com</t>
  </si>
  <si>
    <t>75
Kohli Road, Akola 428341</t>
  </si>
  <si>
    <t>EPXjx8488</t>
  </si>
  <si>
    <t>Choudhury</t>
  </si>
  <si>
    <t>tanyakurian@kapoor.com</t>
  </si>
  <si>
    <t>H.No. 03
D’Alia Chowk
Bilaspur-303856</t>
  </si>
  <si>
    <t>PyxLP8926</t>
  </si>
  <si>
    <t>Kuruvilla</t>
  </si>
  <si>
    <t>obutala@kurian.com</t>
  </si>
  <si>
    <t>259, Sahota Zila
Vijayanagaram-177739</t>
  </si>
  <si>
    <t>dkqlH8092</t>
  </si>
  <si>
    <t>Ram</t>
  </si>
  <si>
    <t>yashvimanne@gmail.com</t>
  </si>
  <si>
    <t>57/991, Gulati Ganj, Mira-Bhayandar 038862</t>
  </si>
  <si>
    <t>IaXRP1729</t>
  </si>
  <si>
    <t>Lal</t>
  </si>
  <si>
    <t>onkarkhare@gmail.com</t>
  </si>
  <si>
    <t>86/43
Savant Nagar
Gangtok 806356</t>
  </si>
  <si>
    <t>WnAJY5946</t>
  </si>
  <si>
    <t>Khurana</t>
  </si>
  <si>
    <t>ssrinivas@bedi.net</t>
  </si>
  <si>
    <t>90/26
Suri Nagar, Ulhasnagar-961143</t>
  </si>
  <si>
    <t>amQZH0277</t>
  </si>
  <si>
    <t>Chatterjee</t>
  </si>
  <si>
    <t>vanya65@hora.com</t>
  </si>
  <si>
    <t>H.No. 848, Ghosh
Bally 937690</t>
  </si>
  <si>
    <t>YKqSC1848</t>
  </si>
  <si>
    <t>Manda</t>
  </si>
  <si>
    <t>yasmindugar@goda-kuruvilla.net</t>
  </si>
  <si>
    <t>416
Barad Path
Fatehpur 539423</t>
  </si>
  <si>
    <t>fRQFN5211</t>
  </si>
  <si>
    <t>Singhal</t>
  </si>
  <si>
    <t>wchoudhry@hotmail.com</t>
  </si>
  <si>
    <t>67/80, Ghose Circle
Akola-187500</t>
  </si>
  <si>
    <t>NvxlF4347</t>
  </si>
  <si>
    <t>Cheema</t>
  </si>
  <si>
    <t>zaina38@varty-halder.com</t>
  </si>
  <si>
    <t>02, Krish Marg
Hazaribagh-744890</t>
  </si>
  <si>
    <t>JZqwb4558</t>
  </si>
  <si>
    <t>Bhat</t>
  </si>
  <si>
    <t>fwalia@yahoo.com</t>
  </si>
  <si>
    <t>22/569
Jain, Vijayawada 535544</t>
  </si>
  <si>
    <t>QqVSV2023</t>
  </si>
  <si>
    <t>miraya21@wali.com</t>
  </si>
  <si>
    <t>22
Tripathi Circle
Bhopal-557784</t>
  </si>
  <si>
    <t>EIoZf8845</t>
  </si>
  <si>
    <t>eshroff@agrawal-sinha.biz</t>
  </si>
  <si>
    <t>H.No. 853, Wadhwa Marg, Tenali 266341</t>
  </si>
  <si>
    <t>hODNC1224</t>
  </si>
  <si>
    <t>Sarma</t>
  </si>
  <si>
    <t>saanvikanda@hotmail.com</t>
  </si>
  <si>
    <t>H.No. 207, Garg Ganj
Bijapur 570512</t>
  </si>
  <si>
    <t>XCpVc0136</t>
  </si>
  <si>
    <t>Karpe</t>
  </si>
  <si>
    <t>anya43@wali-bal.com</t>
  </si>
  <si>
    <t>65/024, Bhasin
Latur 097925</t>
  </si>
  <si>
    <t>FouJY2812</t>
  </si>
  <si>
    <t>Shukla</t>
  </si>
  <si>
    <t>kchandran@gmail.com</t>
  </si>
  <si>
    <t>74/982
Lanka Zila, Hospet 485708</t>
  </si>
  <si>
    <t>XJjNs6387</t>
  </si>
  <si>
    <t>Jayaraman</t>
  </si>
  <si>
    <t>divyanshbabu@hotmail.com</t>
  </si>
  <si>
    <t>99/40
Choudhry Path, Ahmedabad-717058</t>
  </si>
  <si>
    <t>UoIym3811</t>
  </si>
  <si>
    <t>Lall</t>
  </si>
  <si>
    <t>vritikachana@iyer.com</t>
  </si>
  <si>
    <t>H.No. 85
Jhaveri Path, North Dumdum-983684</t>
  </si>
  <si>
    <t>onubX2404</t>
  </si>
  <si>
    <t>Tata</t>
  </si>
  <si>
    <t>tejas93@dave.com</t>
  </si>
  <si>
    <t>15/727, Tank, Hindupur-096105</t>
  </si>
  <si>
    <t>KjuGS8058</t>
  </si>
  <si>
    <t>Bose</t>
  </si>
  <si>
    <t>shayakbarman@mangal-sharma.com</t>
  </si>
  <si>
    <t>H.No. 686
Singh Street, Ongole-769389</t>
  </si>
  <si>
    <t>muwMP6655</t>
  </si>
  <si>
    <t>Solanki</t>
  </si>
  <si>
    <t>bhallaseher@dara.com</t>
  </si>
  <si>
    <t>H.No. 14, Keer Chowk, Bathinda 833884</t>
  </si>
  <si>
    <t>YSNrd2043</t>
  </si>
  <si>
    <t>Sagar</t>
  </si>
  <si>
    <t>aradhya98@chander.net</t>
  </si>
  <si>
    <t>H.No. 384, Konda Path, Sangli-Miraj &amp; Kupwad-555438</t>
  </si>
  <si>
    <t>HRNOR6216</t>
  </si>
  <si>
    <t>sahilsankaran@yogi.biz</t>
  </si>
  <si>
    <t>H.No. 18, Sem Circle
Udaipur-205664</t>
  </si>
  <si>
    <t>oMooR4999</t>
  </si>
  <si>
    <t>Gola</t>
  </si>
  <si>
    <t>kartikchowdhury@jayaraman.com</t>
  </si>
  <si>
    <t>33/127, Konda, Berhampore-660965</t>
  </si>
  <si>
    <t>IzVcJ7038</t>
  </si>
  <si>
    <t>santela@gmail.com</t>
  </si>
  <si>
    <t>H.No. 812
Warrior, Singrauli-570279</t>
  </si>
  <si>
    <t>UYGNk5186</t>
  </si>
  <si>
    <t>Maharaj</t>
  </si>
  <si>
    <t>odhawan@gmail.com</t>
  </si>
  <si>
    <t>094, Karnik Nagar
Panchkula 973397</t>
  </si>
  <si>
    <t>ljdPw9830</t>
  </si>
  <si>
    <t>Bora</t>
  </si>
  <si>
    <t>amanishere@hotmail.com</t>
  </si>
  <si>
    <t>H.No. 455, Tank Marg, Purnia 472145</t>
  </si>
  <si>
    <t>BMuqH1794</t>
  </si>
  <si>
    <t>Ratta</t>
  </si>
  <si>
    <t>bhargavaanay@rattan-sunder.com</t>
  </si>
  <si>
    <t>05
Mammen Path
Hyderabad-441448</t>
  </si>
  <si>
    <t>REEZc2355</t>
  </si>
  <si>
    <t>Bir</t>
  </si>
  <si>
    <t>kashvisani@sura-wali.com</t>
  </si>
  <si>
    <t>H.No. 05, Rattan Marg
Aurangabad 291450</t>
  </si>
  <si>
    <t>YcXmf4215</t>
  </si>
  <si>
    <t>Kulkarni</t>
  </si>
  <si>
    <t>samairabadami@hari-saxena.net</t>
  </si>
  <si>
    <t>H.No. 09, Ganesan Zila
Ranchi 840943</t>
  </si>
  <si>
    <t>aNJGg2241</t>
  </si>
  <si>
    <t>ibakshi@gmail.com</t>
  </si>
  <si>
    <t>H.No. 601, Hayre Marg, Kavali-954538</t>
  </si>
  <si>
    <t>Nqxzl7332</t>
  </si>
  <si>
    <t>Salvi</t>
  </si>
  <si>
    <t>lavanya92@hotmail.com</t>
  </si>
  <si>
    <t>15/814
Kashyap Circle
Gudivada 393827</t>
  </si>
  <si>
    <t>FhLMD3219</t>
  </si>
  <si>
    <t>Mall</t>
  </si>
  <si>
    <t>choprahiran@zacharia.com</t>
  </si>
  <si>
    <t>84, Randhawa Marg
Thiruvananthapuram-549465</t>
  </si>
  <si>
    <t>whsbp8008</t>
  </si>
  <si>
    <t>Sarna</t>
  </si>
  <si>
    <t>xupadhyay@bose-dhawan.com</t>
  </si>
  <si>
    <t>H.No. 027, Bir Marg
Durgapur-796927</t>
  </si>
  <si>
    <t>TGrAI0973</t>
  </si>
  <si>
    <t>lalmanjari@gmail.com</t>
  </si>
  <si>
    <t>18/949
Zacharia Nagar
Deoghar-778795</t>
  </si>
  <si>
    <t>KdQsZ0792</t>
  </si>
  <si>
    <t>abram19@gmail.com</t>
  </si>
  <si>
    <t>H.No. 24
Kibe Ganj
Dehri-512927</t>
  </si>
  <si>
    <t>zEtEV1027</t>
  </si>
  <si>
    <t>Lata</t>
  </si>
  <si>
    <t>bavahazel@hotmail.com</t>
  </si>
  <si>
    <t>45/44
Datta Zila, Surendranagar Dudhrej 938525</t>
  </si>
  <si>
    <t>mcbNf5344</t>
  </si>
  <si>
    <t>Rajan</t>
  </si>
  <si>
    <t>ritvik71@karan.biz</t>
  </si>
  <si>
    <t>140
Hari Marg, Allahabad 427173</t>
  </si>
  <si>
    <t>ceeKU1741</t>
  </si>
  <si>
    <t>Soni</t>
  </si>
  <si>
    <t>bkhare@uppal-seth.com</t>
  </si>
  <si>
    <t>71, Loyal
Thoothukudi-601585</t>
  </si>
  <si>
    <t>fOCVm6157</t>
  </si>
  <si>
    <t>Badami</t>
  </si>
  <si>
    <t>garabhavin@subramaniam-sen.com</t>
  </si>
  <si>
    <t>878, Shanker Street, Madurai-270790</t>
  </si>
  <si>
    <t>FMZNo9111</t>
  </si>
  <si>
    <t>chirag14@shukla.com</t>
  </si>
  <si>
    <t>39, Bhavsar Nagar, Pudukkottai 207100</t>
  </si>
  <si>
    <t>lNScM8763</t>
  </si>
  <si>
    <t>Sekhon</t>
  </si>
  <si>
    <t>tara88@kata.com</t>
  </si>
  <si>
    <t>127, Chakrabarti Chowk, Varanasi 543645</t>
  </si>
  <si>
    <t>UCLLu8113</t>
  </si>
  <si>
    <t>Chaudhary</t>
  </si>
  <si>
    <t>keerkeya@bala-walia.biz</t>
  </si>
  <si>
    <t>72/65, Karnik Street
Secunderabad-352090</t>
  </si>
  <si>
    <t>KJofA9292</t>
  </si>
  <si>
    <t>Konda</t>
  </si>
  <si>
    <t>kairayadav@joshi.com</t>
  </si>
  <si>
    <t>86, Tailor Chowk, Bidhannagar-318063</t>
  </si>
  <si>
    <t>DXiTz9907</t>
  </si>
  <si>
    <t>Subramanian</t>
  </si>
  <si>
    <t>raoshamik@bala.com</t>
  </si>
  <si>
    <t>57, Bahri
Ambarnath 818325</t>
  </si>
  <si>
    <t>exwCF8640</t>
  </si>
  <si>
    <t>hayrejayesh@barad-bhagat.com</t>
  </si>
  <si>
    <t>27/238, Din Nagar, Hosur 756704</t>
  </si>
  <si>
    <t>CDtKi7988</t>
  </si>
  <si>
    <t>Dua</t>
  </si>
  <si>
    <t>jivin22@dani.com</t>
  </si>
  <si>
    <t>45, Chauhan Street, Ratlam 257828</t>
  </si>
  <si>
    <t>EsWKQ8854</t>
  </si>
  <si>
    <t>Sura</t>
  </si>
  <si>
    <t>aliagokhale@gmail.com</t>
  </si>
  <si>
    <t>39/83, Chaudhari Road, Gwalior 186375</t>
  </si>
  <si>
    <t>wtCJf5045</t>
  </si>
  <si>
    <t>Seth</t>
  </si>
  <si>
    <t>romilkhanna@ganesh.biz</t>
  </si>
  <si>
    <t>46, Mall Street
Tezpur 326487</t>
  </si>
  <si>
    <t>hPQsA2447</t>
  </si>
  <si>
    <t>Korpal</t>
  </si>
  <si>
    <t>mishti71@yahoo.com</t>
  </si>
  <si>
    <t>902
Kashyap Path
Raurkela Industrial Township 045650</t>
  </si>
  <si>
    <t>rRSSx8554</t>
  </si>
  <si>
    <t>indranskrishnamurthy@thakur.net</t>
  </si>
  <si>
    <t>11
Anand Street
Karnal 527985</t>
  </si>
  <si>
    <t>SWYhe3216</t>
  </si>
  <si>
    <t>Soman</t>
  </si>
  <si>
    <t>doranitya@shroff.com</t>
  </si>
  <si>
    <t>501, Vaidya Street
Adoni-528938</t>
  </si>
  <si>
    <t>GTExS8013</t>
  </si>
  <si>
    <t>Chanda</t>
  </si>
  <si>
    <t>kaulfaiyaz@hotmail.com</t>
  </si>
  <si>
    <t>H.No. 48
Barman Nagar
Kumbakonam-647947</t>
  </si>
  <si>
    <t>CHQRf0716</t>
  </si>
  <si>
    <t>aarnaseshadri@dewan-singhal.org</t>
  </si>
  <si>
    <t>H.No. 79
Kibe Marg, Siliguri 114773</t>
  </si>
  <si>
    <t>NgWeQ5249</t>
  </si>
  <si>
    <t>Lad</t>
  </si>
  <si>
    <t>kalefateh@kar-dugar.biz</t>
  </si>
  <si>
    <t>H.No. 028
Wagle Road, Pallavaram-246719</t>
  </si>
  <si>
    <t>yNRwX6479</t>
  </si>
  <si>
    <t>Dyal</t>
  </si>
  <si>
    <t>taimur65@gmail.com</t>
  </si>
  <si>
    <t>491, Vig Zila
Raipur-208507</t>
  </si>
  <si>
    <t>KgZFg6965</t>
  </si>
  <si>
    <t>Sandal</t>
  </si>
  <si>
    <t>reyanshdeo@dixit.biz</t>
  </si>
  <si>
    <t>91/954, Mander Zila
Purnia-514846</t>
  </si>
  <si>
    <t>KFnQV2082</t>
  </si>
  <si>
    <t>adira65@ravel.biz</t>
  </si>
  <si>
    <t>24/936
Bhandari Ganj, Nellore 347786</t>
  </si>
  <si>
    <t>dfuMt2070</t>
  </si>
  <si>
    <t>Yohannan</t>
  </si>
  <si>
    <t>fwagle@gmail.com</t>
  </si>
  <si>
    <t>H.No. 96
Kakar Ganj
Asansol 234764</t>
  </si>
  <si>
    <t>ETxtb3425</t>
  </si>
  <si>
    <t>Zachariah</t>
  </si>
  <si>
    <t>zagrawal@yahoo.com</t>
  </si>
  <si>
    <t>432, Raval Chowk, Vellore 417765</t>
  </si>
  <si>
    <t>PPlOC5700</t>
  </si>
  <si>
    <t>Rege</t>
  </si>
  <si>
    <t>usule@khare-vohra.com</t>
  </si>
  <si>
    <t>95/431, Gour Marg, Singrauli 930089</t>
  </si>
  <si>
    <t>xkKha9421</t>
  </si>
  <si>
    <t>kismatchokshi@yahoo.com</t>
  </si>
  <si>
    <t>620
Deep Road
Tadipatri-359710</t>
  </si>
  <si>
    <t>vpEwM1800</t>
  </si>
  <si>
    <t>Suresh</t>
  </si>
  <si>
    <t>pranaychad@koshy.info</t>
  </si>
  <si>
    <t>H.No. 86, De Street
Satara-274564</t>
  </si>
  <si>
    <t>jdolc8703</t>
  </si>
  <si>
    <t>De</t>
  </si>
  <si>
    <t>vaidyasaira@gmail.com</t>
  </si>
  <si>
    <t>H.No. 342
Shere Street
Phusro 908926</t>
  </si>
  <si>
    <t>bfDTQ9152</t>
  </si>
  <si>
    <t>samarth01@ramachandran.biz</t>
  </si>
  <si>
    <t>610, Bumb Ganj, Sambhal 214764</t>
  </si>
  <si>
    <t>BfWBZ7499</t>
  </si>
  <si>
    <t>Rana</t>
  </si>
  <si>
    <t>anahita61@doctor-borde.com</t>
  </si>
  <si>
    <t>64/90, Barad Circle, Anand 866179</t>
  </si>
  <si>
    <t>ATtuL2601</t>
  </si>
  <si>
    <t>bloke@hora.com</t>
  </si>
  <si>
    <t>69
Doshi Chowk
Tenali-122031</t>
  </si>
  <si>
    <t>EBbhk1472</t>
  </si>
  <si>
    <t>Shankar</t>
  </si>
  <si>
    <t>aayush16@vala-kota.org</t>
  </si>
  <si>
    <t>67, Rajagopal Circle, Ahmednagar 806958</t>
  </si>
  <si>
    <t>EwCoG0243</t>
  </si>
  <si>
    <t>Raj</t>
  </si>
  <si>
    <t>prisha17@chadha.com</t>
  </si>
  <si>
    <t>74, Cheema Ganj, Surat-452280</t>
  </si>
  <si>
    <t>XJrjS4550</t>
  </si>
  <si>
    <t>Ramakrishnan</t>
  </si>
  <si>
    <t>mohanlalbhargava@golla.com</t>
  </si>
  <si>
    <t>12/552
Vala Zila, Bahraich-037548</t>
  </si>
  <si>
    <t>ADHYR3266</t>
  </si>
  <si>
    <t>Aurora</t>
  </si>
  <si>
    <t>sahotanayantara@gmail.com</t>
  </si>
  <si>
    <t>68
Sen Road
Hapur 489267</t>
  </si>
  <si>
    <t>UUViH0856</t>
  </si>
  <si>
    <t>Dhar</t>
  </si>
  <si>
    <t>urvidoshi@hotmail.com</t>
  </si>
  <si>
    <t>05/485, Bajwa Zila, Sultan Pur Majra-907539</t>
  </si>
  <si>
    <t>HLmXx8315</t>
  </si>
  <si>
    <t>Bawa</t>
  </si>
  <si>
    <t>parinaaz86@mammen.biz</t>
  </si>
  <si>
    <t>67/762
Krishnan Street, Shivpuri 288137</t>
  </si>
  <si>
    <t>Hjhxt5940</t>
  </si>
  <si>
    <t>Doshi</t>
  </si>
  <si>
    <t>bhatira@yahoo.com</t>
  </si>
  <si>
    <t>79, Mandal Road
Naihati 792287</t>
  </si>
  <si>
    <t>QCVrP6580</t>
  </si>
  <si>
    <t>Verma</t>
  </si>
  <si>
    <t>suhanakhanna@yadav.net</t>
  </si>
  <si>
    <t>H.No. 33, Kapadia
Deoghar-690705</t>
  </si>
  <si>
    <t>jlqXf1824</t>
  </si>
  <si>
    <t>zainwarrior@yahoo.com</t>
  </si>
  <si>
    <t>H.No. 033
Raj, Kumbakonam 140578</t>
  </si>
  <si>
    <t>tKACf1382</t>
  </si>
  <si>
    <t>Krishna</t>
  </si>
  <si>
    <t>neysa20@gmail.com</t>
  </si>
  <si>
    <t>46/53
Trivedi, Ranchi-891416</t>
  </si>
  <si>
    <t>QuvnD4743</t>
  </si>
  <si>
    <t>Gala</t>
  </si>
  <si>
    <t>subramaniamnehmat@hotmail.com</t>
  </si>
  <si>
    <t>71/569, Hari Path
Bangalore 753703</t>
  </si>
  <si>
    <t>TTMna5047</t>
  </si>
  <si>
    <t>Tara</t>
  </si>
  <si>
    <t>rajagokul@bali.org</t>
  </si>
  <si>
    <t>089
Sangha Road
Delhi-056641</t>
  </si>
  <si>
    <t>zmvfK8750</t>
  </si>
  <si>
    <t>Arora</t>
  </si>
  <si>
    <t>bswamy@hotmail.com</t>
  </si>
  <si>
    <t>173
Thaman Path, Thoothukudi 199717</t>
  </si>
  <si>
    <t>OBegR7049</t>
  </si>
  <si>
    <t>Mammen</t>
  </si>
  <si>
    <t>bsunder@hotmail.com</t>
  </si>
  <si>
    <t>07/859
Bhagat Ganj
Ahmedabad 939284</t>
  </si>
  <si>
    <t>GPWwt2496</t>
  </si>
  <si>
    <t>danidishani@varughese.com</t>
  </si>
  <si>
    <t>31/537, Rama Chowk
Adoni-946521</t>
  </si>
  <si>
    <t>nzlax3756</t>
  </si>
  <si>
    <t>Bansal</t>
  </si>
  <si>
    <t>raunakchahal@wali.com</t>
  </si>
  <si>
    <t>302, Bedi Road, Durgapur 153473</t>
  </si>
  <si>
    <t>SxuMB3386</t>
  </si>
  <si>
    <t>Das</t>
  </si>
  <si>
    <t>samihabaria@yahoo.com</t>
  </si>
  <si>
    <t>68/57, Kata Circle
Pondicherry 877749</t>
  </si>
  <si>
    <t>kxqJf4669</t>
  </si>
  <si>
    <t>bkaur@yahoo.com</t>
  </si>
  <si>
    <t>H.No. 46
Chakraborty Nagar, Muzaffarpur 151488</t>
  </si>
  <si>
    <t>qtVXR3535</t>
  </si>
  <si>
    <t>gsachdeva@verma.com</t>
  </si>
  <si>
    <t>38, Srivastava
Surendranagar Dudhrej-153663</t>
  </si>
  <si>
    <t>ABRWz7553</t>
  </si>
  <si>
    <t>Sood</t>
  </si>
  <si>
    <t>zchaudry@gmail.com</t>
  </si>
  <si>
    <t>15, Kara, Tiruchirappalli-182097</t>
  </si>
  <si>
    <t>HakuA1705</t>
  </si>
  <si>
    <t>Brar</t>
  </si>
  <si>
    <t>lavanyamani@yahoo.com</t>
  </si>
  <si>
    <t>H.No. 30
Kapoor Street
Silchar-859777</t>
  </si>
  <si>
    <t>UBDyQ6329</t>
  </si>
  <si>
    <t>Sarkar</t>
  </si>
  <si>
    <t>gourdhanuk@gmail.com</t>
  </si>
  <si>
    <t>24
Kulkarni Ganj, Surendranagar Dudhrej 176563</t>
  </si>
  <si>
    <t>TCiEr1183</t>
  </si>
  <si>
    <t>Chada</t>
  </si>
  <si>
    <t>advikagola@gmail.com</t>
  </si>
  <si>
    <t>83/708, Hayer Zila
Raiganj-900633</t>
  </si>
  <si>
    <t>UkcAG1312</t>
  </si>
  <si>
    <t>Tandon</t>
  </si>
  <si>
    <t>samarth20@sachdeva-dugar.com</t>
  </si>
  <si>
    <t>31, Sachar Road, Varanasi-364971</t>
  </si>
  <si>
    <t>vbMLC2571</t>
  </si>
  <si>
    <t>Kumer</t>
  </si>
  <si>
    <t>mirayabaral@gmail.com</t>
  </si>
  <si>
    <t>43
Guha Street
Agra-975245</t>
  </si>
  <si>
    <t>MyHul8033</t>
  </si>
  <si>
    <t>Rau</t>
  </si>
  <si>
    <t>dishanibaral@seshadri-kaur.com</t>
  </si>
  <si>
    <t>629, Doshi Ganj
Gangtok-347156</t>
  </si>
  <si>
    <t>WtMIj0661</t>
  </si>
  <si>
    <t>saanvikeer@gmail.com</t>
  </si>
  <si>
    <t>H.No. 085, Jain Chowk
Tenali-674916</t>
  </si>
  <si>
    <t>BVppE7506</t>
  </si>
  <si>
    <t>Talwar</t>
  </si>
  <si>
    <t>bhardwajtrisha@rout.biz</t>
  </si>
  <si>
    <t>36/26, Saraf Road, Orai-946119</t>
  </si>
  <si>
    <t>APsUB1168</t>
  </si>
  <si>
    <t>sherejivin@dayal.info</t>
  </si>
  <si>
    <t>H.No. 416, Devi Zila
Tiruvottiyur 937710</t>
  </si>
  <si>
    <t>EWvMB9847</t>
  </si>
  <si>
    <t>Goyal</t>
  </si>
  <si>
    <t>svirk@seshadri-tiwari.com</t>
  </si>
  <si>
    <t>43/57, Sankar
Kottayam 305050</t>
  </si>
  <si>
    <t>MmTjH7164</t>
  </si>
  <si>
    <t>nirvaancherian@gmail.com</t>
  </si>
  <si>
    <t>02, Zacharia Path
Parbhani 471287</t>
  </si>
  <si>
    <t>hsfhf6334</t>
  </si>
  <si>
    <t>Shanker</t>
  </si>
  <si>
    <t>ukakar@sur-sane.com</t>
  </si>
  <si>
    <t>08, Dugar Chowk
Sagar-772942</t>
  </si>
  <si>
    <t>ZvjTn7460</t>
  </si>
  <si>
    <t>Tailor</t>
  </si>
  <si>
    <t>wghosh@yahoo.com</t>
  </si>
  <si>
    <t>44/38, Bava Marg, North Dumdum-472927</t>
  </si>
  <si>
    <t>dgwEl2662</t>
  </si>
  <si>
    <t>Bhargava</t>
  </si>
  <si>
    <t>prisha92@hotmail.com</t>
  </si>
  <si>
    <t>64, Gour Chowk, Jamshedpur-117830</t>
  </si>
  <si>
    <t>gueTY6492</t>
  </si>
  <si>
    <t>nirviyadav@chana.com</t>
  </si>
  <si>
    <t>H.No. 10
Mani Street
Nanded 840118</t>
  </si>
  <si>
    <t>KFSuH4872</t>
  </si>
  <si>
    <t>ranbir29@barad-maharaj.com</t>
  </si>
  <si>
    <t>26/714
Saran Marg, Jorhat 143598</t>
  </si>
  <si>
    <t>hRJAe1418</t>
  </si>
  <si>
    <t>Reddy</t>
  </si>
  <si>
    <t>chahaleshani@vora.info</t>
  </si>
  <si>
    <t>94/849
Yadav Zila
Tirunelveli 625889</t>
  </si>
  <si>
    <t>UOxTX6940</t>
  </si>
  <si>
    <t>myra14@solanki-dugar.com</t>
  </si>
  <si>
    <t>31/290, Sharaf Zila
Begusarai 068277</t>
  </si>
  <si>
    <t>cMCkR5389</t>
  </si>
  <si>
    <t>Lala</t>
  </si>
  <si>
    <t>garaparinaaz@gmail.com</t>
  </si>
  <si>
    <t>H.No. 74
Chhabra Road
Jehanabad 348079</t>
  </si>
  <si>
    <t>wagBF0526</t>
  </si>
  <si>
    <t>Basak</t>
  </si>
  <si>
    <t>tejas62@hotmail.com</t>
  </si>
  <si>
    <t>72, Goel Street, Kolkata 313402</t>
  </si>
  <si>
    <t>uWWXz7872</t>
  </si>
  <si>
    <t>Seshadri</t>
  </si>
  <si>
    <t>aaryahi90@khatri-dhillon.com</t>
  </si>
  <si>
    <t>39, Sethi Street, Kulti-143637</t>
  </si>
  <si>
    <t>jBbNm6043</t>
  </si>
  <si>
    <t>Venkatesh</t>
  </si>
  <si>
    <t>doshifaiyaz@yahoo.com</t>
  </si>
  <si>
    <t>H.No. 63
Wason Path, South Dumdum 005347</t>
  </si>
  <si>
    <t>XivxV1108</t>
  </si>
  <si>
    <t>Golla</t>
  </si>
  <si>
    <t>bailkhushi@taneja.info</t>
  </si>
  <si>
    <t>95/47, Loke Ganj
Varanasi 368485</t>
  </si>
  <si>
    <t>scKdY2942</t>
  </si>
  <si>
    <t>lagan20@gmail.com</t>
  </si>
  <si>
    <t>78/84, Varkey Road
Sagar-812308</t>
  </si>
  <si>
    <t>OMxuf8105</t>
  </si>
  <si>
    <t>Wagle</t>
  </si>
  <si>
    <t>advik89@sen.biz</t>
  </si>
  <si>
    <t>35, Chaudry Road, Bhatpara 365271</t>
  </si>
  <si>
    <t>zRMme0422</t>
  </si>
  <si>
    <t>Banik</t>
  </si>
  <si>
    <t>thakerabram@bains.com</t>
  </si>
  <si>
    <t>90/018, Varkey Path, Panihati 797245</t>
  </si>
  <si>
    <t>GAjao1841</t>
  </si>
  <si>
    <t>Comar</t>
  </si>
  <si>
    <t>taimur19@bhargava-gole.com</t>
  </si>
  <si>
    <t>685, Chana
Jalgaon 945147</t>
  </si>
  <si>
    <t>BUrjf7119</t>
  </si>
  <si>
    <t>Bhatt</t>
  </si>
  <si>
    <t>fmaharaj@hotmail.com</t>
  </si>
  <si>
    <t>19, Lall Marg, Chandigarh-503058</t>
  </si>
  <si>
    <t>odVih8633</t>
  </si>
  <si>
    <t>tejasbobal@das.com</t>
  </si>
  <si>
    <t>728, Keer Road, Naihati-041200</t>
  </si>
  <si>
    <t>BkrfH9843</t>
  </si>
  <si>
    <t>Bhatnagar</t>
  </si>
  <si>
    <t>neysa66@gmail.com</t>
  </si>
  <si>
    <t>63/411
Golla Zila
Bhopal 428113</t>
  </si>
  <si>
    <t>YEcdu9909</t>
  </si>
  <si>
    <t>krishnamurthyzara@gmail.com</t>
  </si>
  <si>
    <t>90
Buch Road
Madhyamgram 133228</t>
  </si>
  <si>
    <t>nNMej6063</t>
  </si>
  <si>
    <t>Ratti</t>
  </si>
  <si>
    <t>darshitdey@hotmail.com</t>
  </si>
  <si>
    <t>H.No. 127
Khalsa Road, Mango 197054</t>
  </si>
  <si>
    <t>qRcNP1687</t>
  </si>
  <si>
    <t>dvohra@batra.info</t>
  </si>
  <si>
    <t>H.No. 216, Chaudhry Marg, Ozhukarai-559737</t>
  </si>
  <si>
    <t>dZxYB9096</t>
  </si>
  <si>
    <t>Chhabra</t>
  </si>
  <si>
    <t>riya76@chhabra.com</t>
  </si>
  <si>
    <t>H.No. 654, Chaudhary Street
Gurgaon-782659</t>
  </si>
  <si>
    <t>jFuhY5027</t>
  </si>
  <si>
    <t>Jani</t>
  </si>
  <si>
    <t>wchokshi@chandran.org</t>
  </si>
  <si>
    <t>H.No. 04
Krishnamurthy Road
Panchkula 665586</t>
  </si>
  <si>
    <t>sQSRB2866</t>
  </si>
  <si>
    <t>lkrishnamurthy@sama.biz</t>
  </si>
  <si>
    <t>86, Chaudhari Zila
Amravati-766053</t>
  </si>
  <si>
    <t>HVMuv0025</t>
  </si>
  <si>
    <t>uzacharia@buch.com</t>
  </si>
  <si>
    <t>96/482, Chaudry Path
Tiruchirappalli-609209</t>
  </si>
  <si>
    <t>pUXZY3438</t>
  </si>
  <si>
    <t>bobalraunak@wason-chana.com</t>
  </si>
  <si>
    <t>H.No. 36
Korpal Zila
Haridwar 713665</t>
  </si>
  <si>
    <t>MIakH5579</t>
  </si>
  <si>
    <t>Datta</t>
  </si>
  <si>
    <t>gadehiran@barman.com</t>
  </si>
  <si>
    <t>31
Sathe Path, Bhind 686342</t>
  </si>
  <si>
    <t>VruNg6769</t>
  </si>
  <si>
    <t>Handa</t>
  </si>
  <si>
    <t>lavanya85@yahoo.com</t>
  </si>
  <si>
    <t>562, Das Path
Thrissur 525105</t>
  </si>
  <si>
    <t>ngJrT4938</t>
  </si>
  <si>
    <t>devanaaina@gmail.com</t>
  </si>
  <si>
    <t>959
Dani Marg
Anantapuram 907426</t>
  </si>
  <si>
    <t>zfJXu4455</t>
  </si>
  <si>
    <t>Ramesh</t>
  </si>
  <si>
    <t>ehsaanedwin@sengupta.com</t>
  </si>
  <si>
    <t>58/004, Bhakta Nagar
Avadi 459642</t>
  </si>
  <si>
    <t>KEQFr1883</t>
  </si>
  <si>
    <t>Som</t>
  </si>
  <si>
    <t>nbalan@sampath.info</t>
  </si>
  <si>
    <t>15, Talwar Ganj, Bijapur-281235</t>
  </si>
  <si>
    <t>jDgVh2491</t>
  </si>
  <si>
    <t>Anand</t>
  </si>
  <si>
    <t>jcherian@yahoo.com</t>
  </si>
  <si>
    <t>H.No. 745
Bakshi Zila, Bhusawal-436294</t>
  </si>
  <si>
    <t>rpeIg1009</t>
  </si>
  <si>
    <t>Chowdhury</t>
  </si>
  <si>
    <t>renee94@hotmail.com</t>
  </si>
  <si>
    <t>897, Varkey Road
Tirunelveli 122572</t>
  </si>
  <si>
    <t>aFpEh9579</t>
  </si>
  <si>
    <t>Tank</t>
  </si>
  <si>
    <t>wshah@hotmail.com</t>
  </si>
  <si>
    <t>H.No. 57
Thaker Nagar, Barasat 897148</t>
  </si>
  <si>
    <t>myOgr6531</t>
  </si>
  <si>
    <t>mannelakshi@garg.com</t>
  </si>
  <si>
    <t>54/10
Sani Chowk, Kirari Suleman Nagar-849824</t>
  </si>
  <si>
    <t>aBwQa1074</t>
  </si>
  <si>
    <t>Badal</t>
  </si>
  <si>
    <t>Dass</t>
  </si>
  <si>
    <t>madhup07@dash-tak.biz</t>
  </si>
  <si>
    <t>H.No. 449
Chadha Road, North Dumdum-342683</t>
  </si>
  <si>
    <t>SuGRT1287</t>
  </si>
  <si>
    <t>Kaur</t>
  </si>
  <si>
    <t>kavyakunda@yahoo.com</t>
  </si>
  <si>
    <t>H.No. 626
Kashyap Nagar
Meerut-041591</t>
  </si>
  <si>
    <t>ioROj8287</t>
  </si>
  <si>
    <t>laganben@arora-thaman.net</t>
  </si>
  <si>
    <t>H.No. 146
Chanda Chowk, Bongaigaon-979162</t>
  </si>
  <si>
    <t>FxQrz4419</t>
  </si>
  <si>
    <t>arhaan97@goel.info</t>
  </si>
  <si>
    <t>H.No. 258
Cheema Circle, Loni-812259</t>
  </si>
  <si>
    <t>XQHqi9298</t>
  </si>
  <si>
    <t>esane@sidhu-dalia.com</t>
  </si>
  <si>
    <t>66/109, Bhandari Road
Srinagar 590251</t>
  </si>
  <si>
    <t>BHZYm4332</t>
  </si>
  <si>
    <t>Manne</t>
  </si>
  <si>
    <t>pihusethi@hotmail.com</t>
  </si>
  <si>
    <t>978, Gokhale Path, Jabalpur-661912</t>
  </si>
  <si>
    <t>yTwek0344</t>
  </si>
  <si>
    <t>Barad</t>
  </si>
  <si>
    <t>neysa00@yahoo.com</t>
  </si>
  <si>
    <t>502
Mahal Ganj, Ghaziabad-719905</t>
  </si>
  <si>
    <t>oPwBE1078</t>
  </si>
  <si>
    <t>Srinivas</t>
  </si>
  <si>
    <t>ysinha@bhatnagar.biz</t>
  </si>
  <si>
    <t>19, Goda Path
Tiruvottiyur-033190</t>
  </si>
  <si>
    <t>cuwMP2724</t>
  </si>
  <si>
    <t>Dhingra</t>
  </si>
  <si>
    <t>tsaxena@sridhar-majumdar.com</t>
  </si>
  <si>
    <t>H.No. 88
Bala Zila
Bulandshahr-413283</t>
  </si>
  <si>
    <t>rrLyt1070</t>
  </si>
  <si>
    <t>Balan</t>
  </si>
  <si>
    <t>dlata@dua.com</t>
  </si>
  <si>
    <t>H.No. 93
Garde Nagar
Purnia 186487</t>
  </si>
  <si>
    <t>pXIsv0441</t>
  </si>
  <si>
    <t>Hora</t>
  </si>
  <si>
    <t>ahana-kashyap@gmail.com</t>
  </si>
  <si>
    <t>05, Ray Chowk, Alappuzha-914985</t>
  </si>
  <si>
    <t>hPclR2903</t>
  </si>
  <si>
    <t>Vasa</t>
  </si>
  <si>
    <t>stuvanbhagat@kulkarni.com</t>
  </si>
  <si>
    <t>595, Banik Marg
Ichalkaranji 059556</t>
  </si>
  <si>
    <t>nZuGT9019</t>
  </si>
  <si>
    <t>vaidyaeva@gmail.com</t>
  </si>
  <si>
    <t>H.No. 43
Din, Ozhukarai-537513</t>
  </si>
  <si>
    <t>oKiIp9376</t>
  </si>
  <si>
    <t>xraval@yogi.info</t>
  </si>
  <si>
    <t>H.No. 648, Sharaf Chowk
Cuttack 602128</t>
  </si>
  <si>
    <t>NgUce5599</t>
  </si>
  <si>
    <t>Goel</t>
  </si>
  <si>
    <t>pari76@kanda-chakrabarti.net</t>
  </si>
  <si>
    <t>475, Manda Nagar, Baranagar 652203</t>
  </si>
  <si>
    <t>Coksq1447</t>
  </si>
  <si>
    <t>Shetty</t>
  </si>
  <si>
    <t>kondaanay@chaudry-dhaliwal.org</t>
  </si>
  <si>
    <t>27/41
Kapadia Zila, Kumbakonam-124151</t>
  </si>
  <si>
    <t>TYHum5061</t>
  </si>
  <si>
    <t>ltalwar@kothari.com</t>
  </si>
  <si>
    <t>H.No. 617, Ramaswamy Circle
Mangalore 649693</t>
  </si>
  <si>
    <t>sgohW9587</t>
  </si>
  <si>
    <t>ztrivedi@rama-jha.com</t>
  </si>
  <si>
    <t>H.No. 83
Balasubramanian Marg
Bhilwara 667664</t>
  </si>
  <si>
    <t>XOhNN9283</t>
  </si>
  <si>
    <t>heer32@hora.com</t>
  </si>
  <si>
    <t>H.No. 56, Malhotra Ganj, Ahmedabad 081867</t>
  </si>
  <si>
    <t>feeGU6624</t>
  </si>
  <si>
    <t>aarna80@yahoo.com</t>
  </si>
  <si>
    <t>149
Guha Chowk, Haldia 368474</t>
  </si>
  <si>
    <t>zXoCx7390</t>
  </si>
  <si>
    <t>bobalyuvaan@tripathi.org</t>
  </si>
  <si>
    <t>46, Shanker Road
Saharanpur-599604</t>
  </si>
  <si>
    <t>BSeyi8811</t>
  </si>
  <si>
    <t>Ahuja</t>
  </si>
  <si>
    <t>siyavohra@hotmail.com</t>
  </si>
  <si>
    <t>H.No. 416
Sem Road, Nagaon-959224</t>
  </si>
  <si>
    <t>TEauA5228</t>
  </si>
  <si>
    <t>Borde</t>
  </si>
  <si>
    <t>darshitgill@hotmail.com</t>
  </si>
  <si>
    <t>03/446
Sethi
Arrah-488319</t>
  </si>
  <si>
    <t>XLMrZ9659</t>
  </si>
  <si>
    <t>Viswanathan</t>
  </si>
  <si>
    <t>avohra@barad-wason.com</t>
  </si>
  <si>
    <t>75
Krishna Road
New Delhi-667548</t>
  </si>
  <si>
    <t>JBPwl7741</t>
  </si>
  <si>
    <t>hgole@agate.com</t>
  </si>
  <si>
    <t>H.No. 48, Raman Nagar, Visakhapatnam 760440</t>
  </si>
  <si>
    <t>TjTVl0509</t>
  </si>
  <si>
    <t>Barman</t>
  </si>
  <si>
    <t>rhea29@hotmail.com</t>
  </si>
  <si>
    <t>66/013, Borah Circle, Gwalior 704938</t>
  </si>
  <si>
    <t>fhflU9197</t>
  </si>
  <si>
    <t>Chander</t>
  </si>
  <si>
    <t>baiju64@dewan.org</t>
  </si>
  <si>
    <t>343
Divan Street, Gandhidham 175955</t>
  </si>
  <si>
    <t>vSGJV6543</t>
  </si>
  <si>
    <t>uraj@manda-gulati.org</t>
  </si>
  <si>
    <t>15/026
Ganesh Chowk
Salem 542782</t>
  </si>
  <si>
    <t>ERztc4595</t>
  </si>
  <si>
    <t>jiyasheth@gmail.com</t>
  </si>
  <si>
    <t>H.No. 142
Karnik Path
Dehradun-023244</t>
  </si>
  <si>
    <t>gEJRz0725</t>
  </si>
  <si>
    <t>Cherian</t>
  </si>
  <si>
    <t>zraju@hotmail.com</t>
  </si>
  <si>
    <t>90
Wali Ganj
Noida 558099</t>
  </si>
  <si>
    <t>Bjsty1562</t>
  </si>
  <si>
    <t>zsuri@buch.com</t>
  </si>
  <si>
    <t>H.No. 766
Doshi Nagar, Rampur-978575</t>
  </si>
  <si>
    <t>GNUDB5943</t>
  </si>
  <si>
    <t>Kata</t>
  </si>
  <si>
    <t>madanpriyansh@gmail.com</t>
  </si>
  <si>
    <t>07
Dixit Path, Kavali 508632</t>
  </si>
  <si>
    <t>Dceux9389</t>
  </si>
  <si>
    <t>Borah</t>
  </si>
  <si>
    <t>tooradah@gmail.com</t>
  </si>
  <si>
    <t>H.No. 98
Varma Circle
Dhanbad-973642</t>
  </si>
  <si>
    <t>rrDMY3062</t>
  </si>
  <si>
    <t>Dutt</t>
  </si>
  <si>
    <t>hrishita67@hotmail.com</t>
  </si>
  <si>
    <t>H.No. 55
Borra Chowk
Panchkula 826460</t>
  </si>
  <si>
    <t>bjNLk4577</t>
  </si>
  <si>
    <t>Goda</t>
  </si>
  <si>
    <t>horamadhav@bhakta.com</t>
  </si>
  <si>
    <t>68/653, Yohannan Marg
Imphal-158886</t>
  </si>
  <si>
    <t>PlRgy0857</t>
  </si>
  <si>
    <t>Sachdeva</t>
  </si>
  <si>
    <t>gabamanjari@gmail.com</t>
  </si>
  <si>
    <t>15/096
Kumer Circle
Nanded-532735</t>
  </si>
  <si>
    <t>GPhZM7327</t>
  </si>
  <si>
    <t>sehgalurvi@hotmail.com</t>
  </si>
  <si>
    <t>04
Thakkar Marg
Bharatpur 876112</t>
  </si>
  <si>
    <t>PSeDT3415</t>
  </si>
  <si>
    <t>elakshidhawan@choudhry.org</t>
  </si>
  <si>
    <t>H.No. 29
Khanna Road, Durg 229464</t>
  </si>
  <si>
    <t>NkwPj8867</t>
  </si>
  <si>
    <t>Varkey</t>
  </si>
  <si>
    <t>gargmamooty@chauhan-choudhury.com</t>
  </si>
  <si>
    <t>35/779, Trivedi Nagar, Panihati 061581</t>
  </si>
  <si>
    <t>oSTDl3423</t>
  </si>
  <si>
    <t>Ramanathan</t>
  </si>
  <si>
    <t>gkata@wadhwa.com</t>
  </si>
  <si>
    <t>17, Khanna Zila
Salem 974909</t>
  </si>
  <si>
    <t>vGEGs9472</t>
  </si>
  <si>
    <t>Doctor</t>
  </si>
  <si>
    <t>diya77@chakraborty.biz</t>
  </si>
  <si>
    <t>58, Chatterjee Street, Ahmednagar 484587</t>
  </si>
  <si>
    <t>uHEPM2292</t>
  </si>
  <si>
    <t>bdube@hotmail.com</t>
  </si>
  <si>
    <t>H.No. 606
Roy Path, Sirsa-033445</t>
  </si>
  <si>
    <t>epkuU8741</t>
  </si>
  <si>
    <t>Sen</t>
  </si>
  <si>
    <t>raghav85@dhar-bhakta.info</t>
  </si>
  <si>
    <t>H.No. 62, Raja Street
Chapra-817359</t>
  </si>
  <si>
    <t>DoDxv7325</t>
  </si>
  <si>
    <t>Sandhu</t>
  </si>
  <si>
    <t>advik96@krishnan.net</t>
  </si>
  <si>
    <t>51/19
Mallick Zila, Katihar-819793</t>
  </si>
  <si>
    <t>bzKsa5786</t>
  </si>
  <si>
    <t>Thakkar</t>
  </si>
  <si>
    <t>trishatara@hotmail.com</t>
  </si>
  <si>
    <t>234, Bedi Street, Deoghar 285155</t>
  </si>
  <si>
    <t>ybCVV0271</t>
  </si>
  <si>
    <t>Gupta</t>
  </si>
  <si>
    <t>tanyacheema@konda.org</t>
  </si>
  <si>
    <t>33
Sura Zila, Morena 817006</t>
  </si>
  <si>
    <t>rUPuc1670</t>
  </si>
  <si>
    <t>Vaidya</t>
  </si>
  <si>
    <t>umang96@kadakia.com</t>
  </si>
  <si>
    <t>H.No. 12, Kothari Nagar
Farrukhabad-549500</t>
  </si>
  <si>
    <t>awofA8221</t>
  </si>
  <si>
    <t>nirvi85@sami.info</t>
  </si>
  <si>
    <t>382, Chowdhury Street, Bareilly-491334</t>
  </si>
  <si>
    <t>LVcVZ5652</t>
  </si>
  <si>
    <t>Raval</t>
  </si>
  <si>
    <t>wvarughese@gmail.com</t>
  </si>
  <si>
    <t>794
Kannan Circle, Parbhani-524578</t>
  </si>
  <si>
    <t>hhJTs2137</t>
  </si>
  <si>
    <t>chaudharysana@goel.com</t>
  </si>
  <si>
    <t>38/25
Bedi Street
Tadipatri 289634</t>
  </si>
  <si>
    <t>TJQtn4014</t>
  </si>
  <si>
    <t>nishithtiwari@yahoo.com</t>
  </si>
  <si>
    <t>H.No. 26, Seshadri Zila
Tiruppur 245018</t>
  </si>
  <si>
    <t>WUvrc9721</t>
  </si>
  <si>
    <t>Tripathi</t>
  </si>
  <si>
    <t>nityakota@hotmail.com</t>
  </si>
  <si>
    <t>H.No. 144
Reddy Road, Gurgaon-510173</t>
  </si>
  <si>
    <t>QycMg9698</t>
  </si>
  <si>
    <t>neelofar77@venkatesh.biz</t>
  </si>
  <si>
    <t>920, Bawa Path, Haridwar-745553</t>
  </si>
  <si>
    <t>FfvwN5652</t>
  </si>
  <si>
    <t>rhea75@swaminathan-kanda.com</t>
  </si>
  <si>
    <t>H.No. 01, Mannan Ganj
Guna-882691</t>
  </si>
  <si>
    <t>VZsNK6261</t>
  </si>
  <si>
    <t>zsabharwal@bora.com</t>
  </si>
  <si>
    <t>77/68, Mander Circle
Haridwar-896964</t>
  </si>
  <si>
    <t>LigYG2538</t>
  </si>
  <si>
    <t>Khanna</t>
  </si>
  <si>
    <t>lkothari@yahoo.com</t>
  </si>
  <si>
    <t>H.No. 878, Wason Nagar
Morena 151494</t>
  </si>
  <si>
    <t>ZGAjX4539</t>
  </si>
  <si>
    <t>sanachatterjee@gmail.com</t>
  </si>
  <si>
    <t>H.No. 715, Batta Zila
Chapra-667252</t>
  </si>
  <si>
    <t>POfvC6335</t>
  </si>
  <si>
    <t>Batta</t>
  </si>
  <si>
    <t>gadeveer@atwal-sura.org</t>
  </si>
  <si>
    <t>397, Loyal Street, Hapur 295927</t>
  </si>
  <si>
    <t>LHkgF4152</t>
  </si>
  <si>
    <t>nakultaneja@yahoo.com</t>
  </si>
  <si>
    <t>H.No. 507
Bawa
Pondicherry-834527</t>
  </si>
  <si>
    <t>NytFY1587</t>
  </si>
  <si>
    <t>lokeaniruddh@gmail.com</t>
  </si>
  <si>
    <t>580
Shankar Marg, Danapur 031723</t>
  </si>
  <si>
    <t>pQvly3140</t>
  </si>
  <si>
    <t>Grewal</t>
  </si>
  <si>
    <t>yuvraj-06@gulati-dewan.com</t>
  </si>
  <si>
    <t>06/07
Saini Street, Madurai-127128</t>
  </si>
  <si>
    <t>fJFmi1163</t>
  </si>
  <si>
    <t>jshankar@yahoo.com</t>
  </si>
  <si>
    <t>509, Bose Nagar
Chandrapur 573066</t>
  </si>
  <si>
    <t>HsJkj7139</t>
  </si>
  <si>
    <t>sanimehul@halder.org</t>
  </si>
  <si>
    <t>13/09
Bansal Circle
Fatehpur 496737</t>
  </si>
  <si>
    <t>qkxVb2426</t>
  </si>
  <si>
    <t>Swaminathan</t>
  </si>
  <si>
    <t>ukarpe@yahoo.com</t>
  </si>
  <si>
    <t>55
Salvi Path, Guntur-333939</t>
  </si>
  <si>
    <t>XNAdm1874</t>
  </si>
  <si>
    <t>Ganguly</t>
  </si>
  <si>
    <t>nayantaraiyer@hotmail.com</t>
  </si>
  <si>
    <t>57, Vig Ganj
Morbi-998011</t>
  </si>
  <si>
    <t>NuLCE3415</t>
  </si>
  <si>
    <t>jhanvimajumdar@hotmail.com</t>
  </si>
  <si>
    <t>31/271
Bir Nagar, Bhalswa Jahangir Pur-720957</t>
  </si>
  <si>
    <t>NtRzj5122</t>
  </si>
  <si>
    <t>ojas38@lad-zacharia.com</t>
  </si>
  <si>
    <t>034
Kapur Road, Naihati-471580</t>
  </si>
  <si>
    <t>vxZGY6046</t>
  </si>
  <si>
    <t>diya10@swaminathan.com</t>
  </si>
  <si>
    <t>H.No. 12, Suresh
Chandigarh 005912</t>
  </si>
  <si>
    <t>BYRon2110</t>
  </si>
  <si>
    <t>gchanda@baral.com</t>
  </si>
  <si>
    <t>93/11, Chander Ganj, Ambattur 694968</t>
  </si>
  <si>
    <t>FwUdN2101</t>
  </si>
  <si>
    <t>Taneja</t>
  </si>
  <si>
    <t>vgola@yahoo.com</t>
  </si>
  <si>
    <t>H.No. 75
Sharma Circle, Ambattur 056775</t>
  </si>
  <si>
    <t>xaBYQ5626</t>
  </si>
  <si>
    <t>Borra</t>
  </si>
  <si>
    <t>tbuch@hotmail.com</t>
  </si>
  <si>
    <t>797, Kalla Marg, Morbi 511579</t>
  </si>
  <si>
    <t>BNhMi2549</t>
  </si>
  <si>
    <t>Dhaliwal</t>
  </si>
  <si>
    <t>shaansankaran@viswanathan.info</t>
  </si>
  <si>
    <t>53/25
Contractor, Kulti 970581</t>
  </si>
  <si>
    <t>YXrTj1763</t>
  </si>
  <si>
    <t>aradhya59@hotmail.com</t>
  </si>
  <si>
    <t>91/40, Lala Ganj
Kulti-604432</t>
  </si>
  <si>
    <t>WugrD8297</t>
  </si>
  <si>
    <t>hridaan56@hotmail.com</t>
  </si>
  <si>
    <t>56/259
Rout Nagar
North Dumdum 802711</t>
  </si>
  <si>
    <t>FzIdH1651</t>
  </si>
  <si>
    <t>balnayantara@chowdhury.com</t>
  </si>
  <si>
    <t>285, Hari Path
Surat-706810</t>
  </si>
  <si>
    <t>znjIa9582</t>
  </si>
  <si>
    <t>Sharma</t>
  </si>
  <si>
    <t>pranay61@dhar.info</t>
  </si>
  <si>
    <t>106, Sharaf Zila, Kollam-394570</t>
  </si>
  <si>
    <t>UuDzM5376</t>
  </si>
  <si>
    <t>Butala</t>
  </si>
  <si>
    <t>devanaarav@kapadia-halder.org</t>
  </si>
  <si>
    <t>H.No. 533, Shanker Marg
Aurangabad-604014</t>
  </si>
  <si>
    <t>SJrrb1379</t>
  </si>
  <si>
    <t>abrammani@gmail.com</t>
  </si>
  <si>
    <t>47/340
Viswanathan Road
Noida 009687</t>
  </si>
  <si>
    <t>IjuVO2558</t>
  </si>
  <si>
    <t>ramachandranojas@gmail.com</t>
  </si>
  <si>
    <t>77/820
Kulkarni Path, Khora  829236</t>
  </si>
  <si>
    <t>RTYvF4823</t>
  </si>
  <si>
    <t>raniawason@gmail.com</t>
  </si>
  <si>
    <t>21, Dara Road
Avadi 813000</t>
  </si>
  <si>
    <t>tvyxn5609</t>
  </si>
  <si>
    <t>Kala</t>
  </si>
  <si>
    <t>zvasa@yahoo.com</t>
  </si>
  <si>
    <t>99/570
Bahl Marg
Chandigarh 481131</t>
  </si>
  <si>
    <t>gaRiL7396</t>
  </si>
  <si>
    <t>sarkarela@yahoo.com</t>
  </si>
  <si>
    <t>H.No. 20
Rama Road
Purnia-213773</t>
  </si>
  <si>
    <t>gkiiV7371</t>
  </si>
  <si>
    <t>adira86@bali.com</t>
  </si>
  <si>
    <t>83
Bhasin Street, Nanded 923785</t>
  </si>
  <si>
    <t>iVSza3324</t>
  </si>
  <si>
    <t>kanavsaini@yahoo.com</t>
  </si>
  <si>
    <t>126
Ravel Circle, Ulhasnagar-821781</t>
  </si>
  <si>
    <t>mQUxz0560</t>
  </si>
  <si>
    <t>kalitakismat@gmail.com</t>
  </si>
  <si>
    <t>12/05, Hegde Road, Madhyamgram-489547</t>
  </si>
  <si>
    <t>IHNOe5175</t>
  </si>
  <si>
    <t>shamiklad@hotmail.com</t>
  </si>
  <si>
    <t>H.No. 96
Sodhi Ganj, Sagar-588537</t>
  </si>
  <si>
    <t>ETrKD7536</t>
  </si>
  <si>
    <t>Garde</t>
  </si>
  <si>
    <t>jkaran@hotmail.com</t>
  </si>
  <si>
    <t>406
Rajan Chowk, Fatehpur 651221</t>
  </si>
  <si>
    <t>QKdah1630</t>
  </si>
  <si>
    <t>indrajitapte@hotmail.com</t>
  </si>
  <si>
    <t>638, Anand, Mysore 711363</t>
  </si>
  <si>
    <t>yCnog4699</t>
  </si>
  <si>
    <t>samarth07@hotmail.com</t>
  </si>
  <si>
    <t>35/21
Toor, Gulbarga-335564</t>
  </si>
  <si>
    <t>wxybF7069</t>
  </si>
  <si>
    <t>Sengupta</t>
  </si>
  <si>
    <t>keyaroy@ram.com</t>
  </si>
  <si>
    <t>H.No. 03
Sathe Zila
Tiruchirappalli 418472</t>
  </si>
  <si>
    <t>dKPYY1319</t>
  </si>
  <si>
    <t>hazelbhatia@yahoo.com</t>
  </si>
  <si>
    <t>823, Gaba Nagar, Darbhanga 880622</t>
  </si>
  <si>
    <t>TpkOM3721</t>
  </si>
  <si>
    <t>Bail</t>
  </si>
  <si>
    <t>vedika99@hotmail.com</t>
  </si>
  <si>
    <t>62/87
Swaminathan Street, Tiruppur-954196</t>
  </si>
  <si>
    <t>YWViP6279</t>
  </si>
  <si>
    <t>abhattacharyya@das.com</t>
  </si>
  <si>
    <t>H.No. 576
Barad Marg, Raichur 071553</t>
  </si>
  <si>
    <t>bCzvZ8385</t>
  </si>
  <si>
    <t>boseuthkarsh@sahota-saxena.info</t>
  </si>
  <si>
    <t>319, Devi Marg, Muzaffarnagar 040236</t>
  </si>
  <si>
    <t>UEYeo1204</t>
  </si>
  <si>
    <t>eshani29@hotmail.com</t>
  </si>
  <si>
    <t>067, Gala Road, Panchkula 094412</t>
  </si>
  <si>
    <t>vtfpk6669</t>
  </si>
  <si>
    <t>Khosla</t>
  </si>
  <si>
    <t>dubemiraan@yahoo.com</t>
  </si>
  <si>
    <t>36/63
Dara Road, Naihati-959611</t>
  </si>
  <si>
    <t>isxRR0720</t>
  </si>
  <si>
    <t>Gokhale</t>
  </si>
  <si>
    <t>vritikachada@tata-korpal.com</t>
  </si>
  <si>
    <t>81/94
Bali Street, Medininagar 281793</t>
  </si>
  <si>
    <t>YtQun4663</t>
  </si>
  <si>
    <t>Kashyap</t>
  </si>
  <si>
    <t>dhaliwaltrisha@sankaran-dutta.org</t>
  </si>
  <si>
    <t>61
Sethi Circle
Bhagalpur-052635</t>
  </si>
  <si>
    <t>QuWKS7256</t>
  </si>
  <si>
    <t>Aggarwal</t>
  </si>
  <si>
    <t>krish26@gmail.com</t>
  </si>
  <si>
    <t>59/550
Khurana Zila
Rajpur Sonarpur 584868</t>
  </si>
  <si>
    <t>vbALO8704</t>
  </si>
  <si>
    <t>Balay</t>
  </si>
  <si>
    <t>oorjazachariah@datta.com</t>
  </si>
  <si>
    <t>736, Kale Nagar
Aurangabad-886084</t>
  </si>
  <si>
    <t>IPmaR6852</t>
  </si>
  <si>
    <t>Baral</t>
  </si>
  <si>
    <t>uchaudry@golla.com</t>
  </si>
  <si>
    <t>H.No. 210, Bali Ganj, Mangalore 751887</t>
  </si>
  <si>
    <t>UbNZY6384</t>
  </si>
  <si>
    <t>Bassi</t>
  </si>
  <si>
    <t>zben@hotmail.com</t>
  </si>
  <si>
    <t>397, Shenoy, Ambattur-876553</t>
  </si>
  <si>
    <t>figMH6057</t>
  </si>
  <si>
    <t>Sinha</t>
  </si>
  <si>
    <t>heer64@varughese.com</t>
  </si>
  <si>
    <t>46/245, Barad Marg, Aurangabad 446004</t>
  </si>
  <si>
    <t>hlKnL1455</t>
  </si>
  <si>
    <t>wasonyuvaan@gmail.com</t>
  </si>
  <si>
    <t>H.No. 540
Banerjee Street, Giridih 170756</t>
  </si>
  <si>
    <t>EnUTi2910</t>
  </si>
  <si>
    <t>Shan</t>
  </si>
  <si>
    <t>kalelakshit@sama.net</t>
  </si>
  <si>
    <t>696
Dhawan, Kulti 649701</t>
  </si>
  <si>
    <t>VcUeR2033</t>
  </si>
  <si>
    <t>Bhavsar</t>
  </si>
  <si>
    <t>hunarsengupta@hotmail.com</t>
  </si>
  <si>
    <t>H.No. 66
Sangha Circle
Raiganj 236533</t>
  </si>
  <si>
    <t>snAhs0078</t>
  </si>
  <si>
    <t>prishavenkatesh@yahoo.com</t>
  </si>
  <si>
    <t>H.No. 27
Kanda Ganj, Pune-763882</t>
  </si>
  <si>
    <t>psqZp0191</t>
  </si>
  <si>
    <t>Sami</t>
  </si>
  <si>
    <t>aarav73@gmail.com</t>
  </si>
  <si>
    <t>64/493
Sami Marg
Jalandhar 793350</t>
  </si>
  <si>
    <t>ioAcn0119</t>
  </si>
  <si>
    <t>Jhaveri</t>
  </si>
  <si>
    <t>aayush96@dey.org</t>
  </si>
  <si>
    <t>H.No. 539, Batra Zila, Khora -074820</t>
  </si>
  <si>
    <t>wWCJS4065</t>
  </si>
  <si>
    <t>Arya</t>
  </si>
  <si>
    <t>hanshdivan@balasubramanian-sahota.info</t>
  </si>
  <si>
    <t>H.No. 135, Tiwari Road
Jamnagar-276025</t>
  </si>
  <si>
    <t>SkrTH6163</t>
  </si>
  <si>
    <t>manjaritoor@yahoo.com</t>
  </si>
  <si>
    <t>H.No. 93
Chaudhari Nagar, Sagar 871912</t>
  </si>
  <si>
    <t>ZipdG8283</t>
  </si>
  <si>
    <t>Magar</t>
  </si>
  <si>
    <t>azadkala@varghese-tripathi.com</t>
  </si>
  <si>
    <t>18/297, Kakar Zila
Pondicherry-245000</t>
  </si>
  <si>
    <t>PxdYO7178</t>
  </si>
  <si>
    <t>kismatsami@madan.info</t>
  </si>
  <si>
    <t>489, Dugar Nagar
Nandyal 867009</t>
  </si>
  <si>
    <t>yKhpA4826</t>
  </si>
  <si>
    <t>Sur</t>
  </si>
  <si>
    <t>abala@dara.org</t>
  </si>
  <si>
    <t>H.No. 982
Bali Street, Agartala-164818</t>
  </si>
  <si>
    <t>Pezrp3638</t>
  </si>
  <si>
    <t>aainashukla@bhattacharyya.net</t>
  </si>
  <si>
    <t>H.No. 441, Vohra Chowk, Pali-625540</t>
  </si>
  <si>
    <t>AYrsG1764</t>
  </si>
  <si>
    <t>anahitaramaswamy@hotmail.com</t>
  </si>
  <si>
    <t>H.No. 404
Chaudry Ganj
Dhule 384951</t>
  </si>
  <si>
    <t>mpLfO1809</t>
  </si>
  <si>
    <t>vidur17@hotmail.com</t>
  </si>
  <si>
    <t>H.No. 230, Raj Nagar, Thanjavur-182980</t>
  </si>
  <si>
    <t>xNYwi0936</t>
  </si>
  <si>
    <t>bgarg@hotmail.com</t>
  </si>
  <si>
    <t>223
Ramachandran
Srinagar-745561</t>
  </si>
  <si>
    <t>zBBYV0537</t>
  </si>
  <si>
    <t>mwagle@gmail.com</t>
  </si>
  <si>
    <t>715
Bedi Ganj
Bellary 550688</t>
  </si>
  <si>
    <t>Vchpt3844</t>
  </si>
  <si>
    <t>Agate</t>
  </si>
  <si>
    <t>mehulroy@rana-sengupta.com</t>
  </si>
  <si>
    <t>57/090, Gour Circle
Ramagundam 920749</t>
  </si>
  <si>
    <t>fHsjI8997</t>
  </si>
  <si>
    <t>kanavbhagat@tripathi.com</t>
  </si>
  <si>
    <t>98
Jani Nagar
Proddatur-261760</t>
  </si>
  <si>
    <t>iQJWb9538</t>
  </si>
  <si>
    <t>Thaker</t>
  </si>
  <si>
    <t>inaaya-26@hotmail.com</t>
  </si>
  <si>
    <t>69/65, Rau Marg, Thrissur 876123</t>
  </si>
  <si>
    <t>GrOcb2394</t>
  </si>
  <si>
    <t>Khare</t>
  </si>
  <si>
    <t>dhanukbaria@hotmail.com</t>
  </si>
  <si>
    <t>H.No. 016
Bala Circle
Jodhpur-915076</t>
  </si>
  <si>
    <t>CCMsz4407</t>
  </si>
  <si>
    <t>dhanda@gmail.com</t>
  </si>
  <si>
    <t>H.No. 688
Bandi Road
Davanagere 731255</t>
  </si>
  <si>
    <t>Mkayh3211</t>
  </si>
  <si>
    <t>aliabarad@mahajan.com</t>
  </si>
  <si>
    <t>50/26, Kumer Road
Bareilly 440373</t>
  </si>
  <si>
    <t>kOfFL2210</t>
  </si>
  <si>
    <t>tarakala@gmail.com</t>
  </si>
  <si>
    <t>28/56, Gara Nagar
Chapra-079866</t>
  </si>
  <si>
    <t>IjfQk0506</t>
  </si>
  <si>
    <t>jmane@hotmail.com</t>
  </si>
  <si>
    <t>H.No. 925, Issac
Hindupur 898436</t>
  </si>
  <si>
    <t>BUMTS0938</t>
  </si>
  <si>
    <t>irattan@hotmail.com</t>
  </si>
  <si>
    <t>71/523, Iyer Circle, Pali-382097</t>
  </si>
  <si>
    <t>KBGFT6829</t>
  </si>
  <si>
    <t>Toor</t>
  </si>
  <si>
    <t>pihurattan@gmail.com</t>
  </si>
  <si>
    <t>40/566, Gandhi, Jehanabad 012482</t>
  </si>
  <si>
    <t>slOpO3259</t>
  </si>
  <si>
    <t>Sanghvi</t>
  </si>
  <si>
    <t>dhanush52@sidhu.info</t>
  </si>
  <si>
    <t>29
Jaggi Street
Korba-895138</t>
  </si>
  <si>
    <t>uWFXR8509</t>
  </si>
  <si>
    <t>badalchaudhary@hotmail.com</t>
  </si>
  <si>
    <t>H.No. 01, Cheema Path, Aizawl 547155</t>
  </si>
  <si>
    <t>ucbNr1367</t>
  </si>
  <si>
    <t>Sarin</t>
  </si>
  <si>
    <t>ramakrishnansana@gmail.com</t>
  </si>
  <si>
    <t>H.No. 52, Uppal Ganj, Rewa-258660</t>
  </si>
  <si>
    <t>vVQrI2758</t>
  </si>
  <si>
    <t>Gara</t>
  </si>
  <si>
    <t>takrania@ganesan-arya.com</t>
  </si>
  <si>
    <t>H.No. 245, Raj Ganj
Srinagar 215513</t>
  </si>
  <si>
    <t>HHNyy1444</t>
  </si>
  <si>
    <t>Rao</t>
  </si>
  <si>
    <t>drishya25@cheema-banerjee.net</t>
  </si>
  <si>
    <t>81/231, Chaudhry Street
Chennai-910601</t>
  </si>
  <si>
    <t>zHTfQ0827</t>
  </si>
  <si>
    <t>kairababu@yahoo.com</t>
  </si>
  <si>
    <t>76/83, Hayre Zila
Jamalpur-717217</t>
  </si>
  <si>
    <t>NnVAk2299</t>
  </si>
  <si>
    <t>Sha</t>
  </si>
  <si>
    <t>vritikamani@hotmail.com</t>
  </si>
  <si>
    <t>44/61
Seshadri Chowk
Kumbakonam-264309</t>
  </si>
  <si>
    <t>KlCek9702</t>
  </si>
  <si>
    <t>Gandhi</t>
  </si>
  <si>
    <t>indrajitatwal@shetty.com</t>
  </si>
  <si>
    <t>32/00, Sidhu Road, Medininagar-888975</t>
  </si>
  <si>
    <t>pyPfK3044</t>
  </si>
  <si>
    <t>nitara01@chaudhary-khare.com</t>
  </si>
  <si>
    <t>30/96, Barman Chowk
Guntakal-191260</t>
  </si>
  <si>
    <t>hhyzg0191</t>
  </si>
  <si>
    <t>dinkaira@kale.com</t>
  </si>
  <si>
    <t>27/481, Singhal Street
Belgaum-140868</t>
  </si>
  <si>
    <t>SxwUy2093</t>
  </si>
  <si>
    <t>jbhargava@chandran-kala.com</t>
  </si>
  <si>
    <t>42
Vaidya Ganj, Rampur 202706</t>
  </si>
  <si>
    <t>CUUfB2990</t>
  </si>
  <si>
    <t>Venkataraman</t>
  </si>
  <si>
    <t>choudhryrati@verma.com</t>
  </si>
  <si>
    <t>H.No. 956, Manda Chowk
Arrah 491579</t>
  </si>
  <si>
    <t>hcJdX4760</t>
  </si>
  <si>
    <t>kondaishaan@yahoo.com</t>
  </si>
  <si>
    <t>15/71, Rajagopalan Street
Moradabad 071380</t>
  </si>
  <si>
    <t>FtmZz4584</t>
  </si>
  <si>
    <t>Bhandari</t>
  </si>
  <si>
    <t>qraju@yahoo.com</t>
  </si>
  <si>
    <t>H.No. 805, Sampath Ganj
Medininagar 274666</t>
  </si>
  <si>
    <t>ABgtv0046</t>
  </si>
  <si>
    <t>Raja</t>
  </si>
  <si>
    <t>inaaya-sodhi@hotmail.com</t>
  </si>
  <si>
    <t>05/31
Srinivasan Path
Kalyan-Dombivli 998094</t>
  </si>
  <si>
    <t>yMJVs9716</t>
  </si>
  <si>
    <t>Jha</t>
  </si>
  <si>
    <t>tariniedwin@chand-cheema.net</t>
  </si>
  <si>
    <t>70/14, Wagle Street, Kolhapur 370878</t>
  </si>
  <si>
    <t>KGMGX1359</t>
  </si>
  <si>
    <t>Kapur</t>
  </si>
  <si>
    <t>romil82@gmail.com</t>
  </si>
  <si>
    <t>H.No. 88
Mangal Ganj
Guna 708200</t>
  </si>
  <si>
    <t>MzfWP6914</t>
  </si>
  <si>
    <t>osalvi@gmail.com</t>
  </si>
  <si>
    <t>53/14, Subramanian Zila, Gorakhpur 607832</t>
  </si>
  <si>
    <t>OcMAS9624</t>
  </si>
  <si>
    <t>chiragkapadia@gmail.com</t>
  </si>
  <si>
    <t>H.No. 622
Mann Path
Vellore-882089</t>
  </si>
  <si>
    <t>jWHCM2467</t>
  </si>
  <si>
    <t>Bandi</t>
  </si>
  <si>
    <t>riyajani@dada.info</t>
  </si>
  <si>
    <t>H.No. 23, Datta Nagar, Miryalaguda-650254</t>
  </si>
  <si>
    <t>YKAze3440</t>
  </si>
  <si>
    <t>Shroff</t>
  </si>
  <si>
    <t>jkashyap@bava.com</t>
  </si>
  <si>
    <t>81
Tripathi Ganj, Udaipur-648698</t>
  </si>
  <si>
    <t>vLquZ9415</t>
  </si>
  <si>
    <t>Bakshi</t>
  </si>
  <si>
    <t>banikanika@gmail.com</t>
  </si>
  <si>
    <t>988, Chawla Marg, Satara-621894</t>
  </si>
  <si>
    <t>HLqld9424</t>
  </si>
  <si>
    <t>Guha</t>
  </si>
  <si>
    <t>abramtank@yahoo.com</t>
  </si>
  <si>
    <t>H.No. 77
Luthra Path, Aurangabad 453389</t>
  </si>
  <si>
    <t>gzOvM6540</t>
  </si>
  <si>
    <t>Ghose</t>
  </si>
  <si>
    <t>qsaran@yahoo.com</t>
  </si>
  <si>
    <t>591
Atwal Marg, Vijayawada 411584</t>
  </si>
  <si>
    <t>Jimfl8677</t>
  </si>
  <si>
    <t>baijuchaudry@dass.info</t>
  </si>
  <si>
    <t>59, Verma Marg, Surendranagar Dudhrej 254824</t>
  </si>
  <si>
    <t>PxsPD0644</t>
  </si>
  <si>
    <t>xkanda@singhal-chauhan.com</t>
  </si>
  <si>
    <t>20, Vig Ganj, Gulbarga 750801</t>
  </si>
  <si>
    <t>jrNov3588</t>
  </si>
  <si>
    <t>Wadhwa</t>
  </si>
  <si>
    <t>lgera@datta-datta.com</t>
  </si>
  <si>
    <t>08
Tank Ganj, Amritsar 993781</t>
  </si>
  <si>
    <t>KLBLH4869</t>
  </si>
  <si>
    <t>ojasguha@gmail.com</t>
  </si>
  <si>
    <t>98/642, Bhatti Road
Proddatur 972833</t>
  </si>
  <si>
    <t>dTKJn3288</t>
  </si>
  <si>
    <t>hgupta@gmail.com</t>
  </si>
  <si>
    <t>61/081
Chandra Road
Yamunanagar 403845</t>
  </si>
  <si>
    <t>LuRYg3546</t>
  </si>
  <si>
    <t>Agarwal</t>
  </si>
  <si>
    <t>gandhiakarsh@hotmail.com</t>
  </si>
  <si>
    <t>66
Batra Road
Ahmedabad 541134</t>
  </si>
  <si>
    <t>axXJW7089</t>
  </si>
  <si>
    <t>draman@lalla.net</t>
  </si>
  <si>
    <t>87, Bansal, Ludhiana-962571</t>
  </si>
  <si>
    <t>KJlya6578</t>
  </si>
  <si>
    <t>skari@hotmail.com</t>
  </si>
  <si>
    <t>46, Chanda
Jalandhar 419962</t>
  </si>
  <si>
    <t>UUxri1704</t>
  </si>
  <si>
    <t>tejaskothari@savant.com</t>
  </si>
  <si>
    <t>63/564, Karpe Nagar
Rajpur Sonarpur 472828</t>
  </si>
  <si>
    <t>fiAey2473</t>
  </si>
  <si>
    <t>Sundaram</t>
  </si>
  <si>
    <t>ramaswamyjayesh@yahoo.com</t>
  </si>
  <si>
    <t>H.No. 26, Shenoy Zila
Mirzapur 709230</t>
  </si>
  <si>
    <t>JTuSs1894</t>
  </si>
  <si>
    <t>Tak</t>
  </si>
  <si>
    <t>ranbir71@toor-sha.com</t>
  </si>
  <si>
    <t>481
Yohannan Ganj
Vadodara-502589</t>
  </si>
  <si>
    <t>AHdzr8352</t>
  </si>
  <si>
    <t>Kalla</t>
  </si>
  <si>
    <t>jayesh53@sur-rau.com</t>
  </si>
  <si>
    <t>05/50, Tandon Chowk, Bally-657955</t>
  </si>
  <si>
    <t>cFOSt8551</t>
  </si>
  <si>
    <t>Atwal</t>
  </si>
  <si>
    <t>shalvswaminathan@sarraf-kapadia.biz</t>
  </si>
  <si>
    <t>069, Dada Path
Agartala 201227</t>
  </si>
  <si>
    <t>wZPRR1532</t>
  </si>
  <si>
    <t>jrajan@goel.org</t>
  </si>
  <si>
    <t>100, Dhawan Marg, Avadi 391045</t>
  </si>
  <si>
    <t>oPvNN8491</t>
  </si>
  <si>
    <t>kkohli@ahuja.biz</t>
  </si>
  <si>
    <t>H.No. 867, Deep Chowk, New Delhi-842339</t>
  </si>
  <si>
    <t>ankOw6255</t>
  </si>
  <si>
    <t>keyabalasubramanian@hotmail.com</t>
  </si>
  <si>
    <t>345, Banerjee Zila
Patna-605308</t>
  </si>
  <si>
    <t>NasRv6732</t>
  </si>
  <si>
    <t>Ganesh</t>
  </si>
  <si>
    <t>ivan60@gmail.com</t>
  </si>
  <si>
    <t>20/275
Lad Path
Solapur-770920</t>
  </si>
  <si>
    <t>UQkew6219</t>
  </si>
  <si>
    <t>Srivastava</t>
  </si>
  <si>
    <t>heergrewal@yahoo.com</t>
  </si>
  <si>
    <t>77/21
Mall Marg
Dhanbad 378931</t>
  </si>
  <si>
    <t>GikUW5401</t>
  </si>
  <si>
    <t>Bumb</t>
  </si>
  <si>
    <t>dhruv44@dewan-sagar.com</t>
  </si>
  <si>
    <t>H.No. 659, Savant
Hyderabad-020304</t>
  </si>
  <si>
    <t>GfAvd5302</t>
  </si>
  <si>
    <t>Date</t>
  </si>
  <si>
    <t>hanshsodhi@sani.com</t>
  </si>
  <si>
    <t>17/469
Vasa Nagar
Ballia 104384</t>
  </si>
  <si>
    <t>dxzJx6708</t>
  </si>
  <si>
    <t>Trivedi</t>
  </si>
  <si>
    <t>doshikavya@yahoo.com</t>
  </si>
  <si>
    <t>07/663
Ramakrishnan Road, Kamarhati 504962</t>
  </si>
  <si>
    <t>QiVvP2436</t>
  </si>
  <si>
    <t>navyadar@hotmail.com</t>
  </si>
  <si>
    <t>99/643, Mammen Ganj, Mathura 472505</t>
  </si>
  <si>
    <t>bxUrx5876</t>
  </si>
  <si>
    <t>adiragoyal@hotmail.com</t>
  </si>
  <si>
    <t>69
Halder Circle, Chinsurah-421254</t>
  </si>
  <si>
    <t>juYxK5269</t>
  </si>
  <si>
    <t>Issac</t>
  </si>
  <si>
    <t>jivin61@bal-sama.com</t>
  </si>
  <si>
    <t>614, Wali Path
Kakinada-796373</t>
  </si>
  <si>
    <t>CfJru1158</t>
  </si>
  <si>
    <t>nayantarabumb@hotmail.com</t>
  </si>
  <si>
    <t>H.No. 23
Kashyap Chowk
Mira-Bhayandar 656337</t>
  </si>
  <si>
    <t>Qccbj0558</t>
  </si>
  <si>
    <t>Varty</t>
  </si>
  <si>
    <t>kairasaraf@gmail.com</t>
  </si>
  <si>
    <t>17/20
Bhat Ganj
Burhanpur-528620</t>
  </si>
  <si>
    <t>jOSXC3322</t>
  </si>
  <si>
    <t>manikyakakar@bassi-kulkarni.com</t>
  </si>
  <si>
    <t>10
Karpe Circle
Sasaram 697182</t>
  </si>
  <si>
    <t>RJOlT5838</t>
  </si>
  <si>
    <t>lakshaychokshi@bose.net</t>
  </si>
  <si>
    <t>44/25, Sampath Circle
Udaipur 560629</t>
  </si>
  <si>
    <t>RYFrg8046</t>
  </si>
  <si>
    <t>zchahal@balakrishnan.com</t>
  </si>
  <si>
    <t>75/61, Setty Path, Fatehpur-554912</t>
  </si>
  <si>
    <t>QfKUy6409</t>
  </si>
  <si>
    <t>adirabuch@hotmail.com</t>
  </si>
  <si>
    <t>71/21, Dube Street
Panihati 696789</t>
  </si>
  <si>
    <t>ZMXli7731</t>
  </si>
  <si>
    <t>Sachdev</t>
  </si>
  <si>
    <t>navyachawla@hotmail.com</t>
  </si>
  <si>
    <t>H.No. 916, Dubey Path, Ludhiana 231202</t>
  </si>
  <si>
    <t>aTdai9747</t>
  </si>
  <si>
    <t>dhruv63@yahoo.com</t>
  </si>
  <si>
    <t>04/500
Das Marg, Satna 730964</t>
  </si>
  <si>
    <t>undSx2963</t>
  </si>
  <si>
    <t>Kaul</t>
  </si>
  <si>
    <t>miraan15@hotmail.com</t>
  </si>
  <si>
    <t>65/46
Dasgupta Marg, Bathinda 434414</t>
  </si>
  <si>
    <t>oKrAq4974</t>
  </si>
  <si>
    <t>kashvisami@hotmail.com</t>
  </si>
  <si>
    <t>210, Kapoor, Ghaziabad 170754</t>
  </si>
  <si>
    <t>ctrKB2030</t>
  </si>
  <si>
    <t>Halder</t>
  </si>
  <si>
    <t>zganesan@lalla-sastry.org</t>
  </si>
  <si>
    <t>H.No. 95, Agarwal Chowk, Vijayawada-145843</t>
  </si>
  <si>
    <t>lmAkQ5034</t>
  </si>
  <si>
    <t>nitarakar@hotmail.com</t>
  </si>
  <si>
    <t>00/85
Mane Street, Eluru-217741</t>
  </si>
  <si>
    <t>kJNrB8502</t>
  </si>
  <si>
    <t>bhavsarshalv@mangat-bhagat.com</t>
  </si>
  <si>
    <t>033, Jayaraman Road
Gandhidham-167507</t>
  </si>
  <si>
    <t>floVL4530</t>
  </si>
  <si>
    <t>surakavya@hotmail.com</t>
  </si>
  <si>
    <t>22, Dhingra Street
Dindigul 764871</t>
  </si>
  <si>
    <t>oICjY0658</t>
  </si>
  <si>
    <t>isibal@yahoo.com</t>
  </si>
  <si>
    <t>733, Mangat Chowk, Gaya 211018</t>
  </si>
  <si>
    <t>ScZOo7074</t>
  </si>
  <si>
    <t>jayantbobal@hari-shere.com</t>
  </si>
  <si>
    <t>72/20, Varty Path
Jalgaon-162654</t>
  </si>
  <si>
    <t>GHFGM4704</t>
  </si>
  <si>
    <t>vedikasanghvi@yahoo.com</t>
  </si>
  <si>
    <t>26/63
Vyas Street, Vijayanagaram-427775</t>
  </si>
  <si>
    <t>ibPxK8129</t>
  </si>
  <si>
    <t>bdada@gmail.com</t>
  </si>
  <si>
    <t>62/942, Kale Nagar, Aurangabad-498085</t>
  </si>
  <si>
    <t>Pfljg8321</t>
  </si>
  <si>
    <t>adixit@gmail.com</t>
  </si>
  <si>
    <t>H.No. 88
Hayer Nagar
Farrukhabad 006298</t>
  </si>
  <si>
    <t>MBUin4641</t>
  </si>
  <si>
    <t>Sahni</t>
  </si>
  <si>
    <t>dharishaan@date.com</t>
  </si>
  <si>
    <t>91/17
Kapoor, Vellore 981283</t>
  </si>
  <si>
    <t>mVkIv0005</t>
  </si>
  <si>
    <t>ishita26@chada.org</t>
  </si>
  <si>
    <t>68, Bumb Marg
Junagadh 328389</t>
  </si>
  <si>
    <t>gpBJt6267</t>
  </si>
  <si>
    <t>Bhagat</t>
  </si>
  <si>
    <t>kabir79@varty.info</t>
  </si>
  <si>
    <t>77, Batta Marg, Bhusawal 920881</t>
  </si>
  <si>
    <t>LALIP7815</t>
  </si>
  <si>
    <t>manjarivirk@yahoo.com</t>
  </si>
  <si>
    <t>H.No. 73, Randhawa Road
Tiruvottiyur 394607</t>
  </si>
  <si>
    <t>eWCKN6694</t>
  </si>
  <si>
    <t>edevi@hotmail.com</t>
  </si>
  <si>
    <t>H.No. 673
Tripathi Road
Kadapa-369881</t>
  </si>
  <si>
    <t>ukhck2860</t>
  </si>
  <si>
    <t>elakshi13@gmail.com</t>
  </si>
  <si>
    <t>H.No. 74, Majumdar Circle
Tadipatri-418563</t>
  </si>
  <si>
    <t>XMwPn6619</t>
  </si>
  <si>
    <t>bsen@bhargava.com</t>
  </si>
  <si>
    <t>H.No. 136, Wali Path, Nashik-444429</t>
  </si>
  <si>
    <t>jYXih2406</t>
  </si>
  <si>
    <t>Gera</t>
  </si>
  <si>
    <t>miraan34@sundaram-aurora.com</t>
  </si>
  <si>
    <t>64
Dhawan Circle, Serampore-965213</t>
  </si>
  <si>
    <t>daVpz3129</t>
  </si>
  <si>
    <t>ivana55@gaba.org</t>
  </si>
  <si>
    <t>52/516, Krishnamurthy Zila, Unnao 917105</t>
  </si>
  <si>
    <t>WxOnw4473</t>
  </si>
  <si>
    <t>Bobal</t>
  </si>
  <si>
    <t>riaan93@ganesan.info</t>
  </si>
  <si>
    <t>183, Barman Marg
Kollam 892608</t>
  </si>
  <si>
    <t>JBluR7304</t>
  </si>
  <si>
    <t>Dugar</t>
  </si>
  <si>
    <t>gokhaleaarna@khare.com</t>
  </si>
  <si>
    <t>H.No. 776
Rajagopalan Street, Giridih-433629</t>
  </si>
  <si>
    <t>hdIMJ9900</t>
  </si>
  <si>
    <t>Khatri</t>
  </si>
  <si>
    <t>jayan46@yahoo.com</t>
  </si>
  <si>
    <t>57/28
Tata Path, Ozhukarai 828190</t>
  </si>
  <si>
    <t>OMCfD4883</t>
  </si>
  <si>
    <t>barmanjivin@hotmail.com</t>
  </si>
  <si>
    <t>885, Vala Marg
Jodhpur-978145</t>
  </si>
  <si>
    <t>JBBLn0552</t>
  </si>
  <si>
    <t>shenoyshanaya@gmail.com</t>
  </si>
  <si>
    <t>10/38, Varkey Street
Aizawl 551360</t>
  </si>
  <si>
    <t>nTDnz5024</t>
  </si>
  <si>
    <t>lakshaygoda@gmail.com</t>
  </si>
  <si>
    <t>58/561, Ravel Path
Hospet 156639</t>
  </si>
  <si>
    <t>GpEFl6902</t>
  </si>
  <si>
    <t>qswamy@banerjee-taneja.biz</t>
  </si>
  <si>
    <t>H.No. 975, Ganesh Ganj
Alappuzha 051038</t>
  </si>
  <si>
    <t>gqOqR3628</t>
  </si>
  <si>
    <t>qiyer@hotmail.com</t>
  </si>
  <si>
    <t>884, Kumar
Gopalpur 513587</t>
  </si>
  <si>
    <t>XUXcm1164</t>
  </si>
  <si>
    <t>Chawla</t>
  </si>
  <si>
    <t>lakshitjain@sidhu-khanna.info</t>
  </si>
  <si>
    <t>H.No. 309
Rastogi Nagar
Karnal 860282</t>
  </si>
  <si>
    <t>CDiar1905</t>
  </si>
  <si>
    <t>Dey</t>
  </si>
  <si>
    <t>balanmisha@saxena-randhawa.com</t>
  </si>
  <si>
    <t>487, Raj Nagar
Saharanpur 496322</t>
  </si>
  <si>
    <t>INdcm2611</t>
  </si>
  <si>
    <t>borravanya@babu.com</t>
  </si>
  <si>
    <t>21
Gole
Alappuzha-057795</t>
  </si>
  <si>
    <t>fmWXc7397</t>
  </si>
  <si>
    <t>Kara</t>
  </si>
  <si>
    <t>lbobal@gmail.com</t>
  </si>
  <si>
    <t>H.No. 46
Kota Zila
Jehanabad 817074</t>
  </si>
  <si>
    <t>ajvln5216</t>
  </si>
  <si>
    <t>Deshmukh</t>
  </si>
  <si>
    <t>parichand@rege-rattan.com</t>
  </si>
  <si>
    <t>276, Sachdev Zila, Madanapalle 802455</t>
  </si>
  <si>
    <t>fkZBI1589</t>
  </si>
  <si>
    <t>dgupta@krishna.com</t>
  </si>
  <si>
    <t>H.No. 08
Kanda Ganj, Buxar 907499</t>
  </si>
  <si>
    <t>YuorI6923</t>
  </si>
  <si>
    <t>jchander@hotmail.com</t>
  </si>
  <si>
    <t>H.No. 237, Verma Street
Secunderabad 033000</t>
  </si>
  <si>
    <t>HHKXX1900</t>
  </si>
  <si>
    <t>Bath</t>
  </si>
  <si>
    <t>dchaudhuri@thakur.net</t>
  </si>
  <si>
    <t>08, Doctor Path, Motihari-746300</t>
  </si>
  <si>
    <t>HfufQ3711</t>
  </si>
  <si>
    <t>gollalagan@singh-dar.com</t>
  </si>
  <si>
    <t>H.No. 756
Raman, Anantapuram-667201</t>
  </si>
  <si>
    <t>MXsaj2387</t>
  </si>
  <si>
    <t>kdugal@gera.com</t>
  </si>
  <si>
    <t>H.No. 291
Boase Circle
Aligarh 612559</t>
  </si>
  <si>
    <t>bdfiJ0466</t>
  </si>
  <si>
    <t>aniruddhsagar@lata-sehgal.com</t>
  </si>
  <si>
    <t>66/534
Halder Road
Farrukhabad 276346</t>
  </si>
  <si>
    <t>pwJAf4724</t>
  </si>
  <si>
    <t>zsarraf@yahoo.com</t>
  </si>
  <si>
    <t>241
Wable, Alappuzha 849477</t>
  </si>
  <si>
    <t>Etjip8489</t>
  </si>
  <si>
    <t>qupadhyay@hotmail.com</t>
  </si>
  <si>
    <t>H.No. 49, Anand Street, Bally 111973</t>
  </si>
  <si>
    <t>YsGGZ4359</t>
  </si>
  <si>
    <t>tanejadivyansh@gmail.com</t>
  </si>
  <si>
    <t>543, Barman Road
Shahjahanpur-160498</t>
  </si>
  <si>
    <t>gMCJL3203</t>
  </si>
  <si>
    <t>rajaanahita@hotmail.com</t>
  </si>
  <si>
    <t>16/259, Sen Nagar, Navi Mumbai-785501</t>
  </si>
  <si>
    <t>RCHVa7288</t>
  </si>
  <si>
    <t>Biswas</t>
  </si>
  <si>
    <t>jtiwari@warrior.org</t>
  </si>
  <si>
    <t>71
Chaudhary Circle, Sonipat-076810</t>
  </si>
  <si>
    <t>mZXin0244</t>
  </si>
  <si>
    <t>yanne@yahoo.com</t>
  </si>
  <si>
    <t>91, Mani Ganj, Ajmer 501642</t>
  </si>
  <si>
    <t>SVShN4243</t>
  </si>
  <si>
    <t>zrama@talwar.com</t>
  </si>
  <si>
    <t>151, Khanna Marg
Jamalpur-463395</t>
  </si>
  <si>
    <t>FGZLY7642</t>
  </si>
  <si>
    <t>zara12@gmail.com</t>
  </si>
  <si>
    <t>15/54
Guha Street, Khora  236024</t>
  </si>
  <si>
    <t>DndGD1710</t>
  </si>
  <si>
    <t>sonikabir@divan-tara.com</t>
  </si>
  <si>
    <t>72/602
Chadha, Rampur 862728</t>
  </si>
  <si>
    <t>eTnvn6327</t>
  </si>
  <si>
    <t>Mahal</t>
  </si>
  <si>
    <t>qwason@aurora.net</t>
  </si>
  <si>
    <t>055, Dayal Ganj, Sri Ganganagar-892739</t>
  </si>
  <si>
    <t>VEGMD5670</t>
  </si>
  <si>
    <t>Savant</t>
  </si>
  <si>
    <t>zcheema@toor.com</t>
  </si>
  <si>
    <t>22/271, Sidhu Zila
Madhyamgram-769171</t>
  </si>
  <si>
    <t>Jocxl4869</t>
  </si>
  <si>
    <t>Tiwari</t>
  </si>
  <si>
    <t>waliapriyansh@sane.com</t>
  </si>
  <si>
    <t>H.No. 680, Kar Zila, Surat-163705</t>
  </si>
  <si>
    <t>ohZCk4469</t>
  </si>
  <si>
    <t>Dewan</t>
  </si>
  <si>
    <t>brarstuvan@hotmail.com</t>
  </si>
  <si>
    <t>93/932, Sarma Chowk, Kumbakonam 812916</t>
  </si>
  <si>
    <t>DkJPt7652</t>
  </si>
  <si>
    <t>Chauhan</t>
  </si>
  <si>
    <t>kadakiasiya@yahoo.com</t>
  </si>
  <si>
    <t>H.No. 208
Salvi Nagar, Buxar 902215</t>
  </si>
  <si>
    <t>mpnla3225</t>
  </si>
  <si>
    <t>yashvi03@yahoo.com</t>
  </si>
  <si>
    <t>33/32, Varghese Road, Singrauli 962080</t>
  </si>
  <si>
    <t>WMzuN9075</t>
  </si>
  <si>
    <t>indranil10@yahoo.com</t>
  </si>
  <si>
    <t>19/375
Sunder
Dharmavaram-267131</t>
  </si>
  <si>
    <t>gjSbN8646</t>
  </si>
  <si>
    <t>ivansastry@balay.com</t>
  </si>
  <si>
    <t>H.No. 514
Sem Ganj, Salem 430877</t>
  </si>
  <si>
    <t>pTqOZ2188</t>
  </si>
  <si>
    <t>kthakkar@gmail.com</t>
  </si>
  <si>
    <t>998, Goel Marg
Secunderabad-257846</t>
  </si>
  <si>
    <t>izYlb2567</t>
  </si>
  <si>
    <t>ivanabuch@gmail.com</t>
  </si>
  <si>
    <t>H.No. 182
Sethi Path
Gulbarga-728639</t>
  </si>
  <si>
    <t>aYaMS9929</t>
  </si>
  <si>
    <t>lchatterjee@gmail.com</t>
  </si>
  <si>
    <t>00/391
Shan Nagar, Ramgarh-353892</t>
  </si>
  <si>
    <t>jDFQc0608</t>
  </si>
  <si>
    <t>Iyengar</t>
  </si>
  <si>
    <t>amblekaira@yahoo.com</t>
  </si>
  <si>
    <t>346
Kapadia Zila
Siliguri-133610</t>
  </si>
  <si>
    <t>VmDlD5441</t>
  </si>
  <si>
    <t>aaryahi17@varughese-garde.com</t>
  </si>
  <si>
    <t>H.No. 799, Chandra, Dewas-024837</t>
  </si>
  <si>
    <t>KqCKW5386</t>
  </si>
  <si>
    <t>kiaankuruvilla@yahoo.com</t>
  </si>
  <si>
    <t>00/953, Vohra Circle, Satara 421643</t>
  </si>
  <si>
    <t>FPOAV4604</t>
  </si>
  <si>
    <t>Din</t>
  </si>
  <si>
    <t>zeeshan46@yahoo.com</t>
  </si>
  <si>
    <t>681
Sahni Path
Chandigarh-899002</t>
  </si>
  <si>
    <t>spxAW7860</t>
  </si>
  <si>
    <t>croy@hotmail.com</t>
  </si>
  <si>
    <t>71, Bir Circle
South Dumdum-679419</t>
  </si>
  <si>
    <t>WnKAn9067</t>
  </si>
  <si>
    <t>fatehsaran@balan-deep.net</t>
  </si>
  <si>
    <t>67/06, Chauhan Marg, Ghaziabad-629073</t>
  </si>
  <si>
    <t>SuXnX1826</t>
  </si>
  <si>
    <t>aniruddhchauhan@hotmail.com</t>
  </si>
  <si>
    <t>35/490, Dhaliwal Zila
Buxar-706921</t>
  </si>
  <si>
    <t>GVXrQ2438</t>
  </si>
  <si>
    <t>nitara31@yahoo.com</t>
  </si>
  <si>
    <t>49, Yohannan Street
Ozhukarai 370170</t>
  </si>
  <si>
    <t>DkzjH8081</t>
  </si>
  <si>
    <t>Rama</t>
  </si>
  <si>
    <t>nayantarasabharwal@yahoo.com</t>
  </si>
  <si>
    <t>H.No. 680, Rajagopalan Marg, Ghaziabad 127662</t>
  </si>
  <si>
    <t>Rqrrn0263</t>
  </si>
  <si>
    <t>ishaan53@raju-andra.org</t>
  </si>
  <si>
    <t>753, Chand Nagar
Jehanabad 603967</t>
  </si>
  <si>
    <t>GWfSI5364</t>
  </si>
  <si>
    <t>hdash@yahoo.com</t>
  </si>
  <si>
    <t>23
D’Alia Street, Agra 679986</t>
  </si>
  <si>
    <t>MHylk2042</t>
  </si>
  <si>
    <t>uthkarsh99@saha.org</t>
  </si>
  <si>
    <t>H.No. 87, Mall Marg
Shimla-925604</t>
  </si>
  <si>
    <t>HVmWM1539</t>
  </si>
  <si>
    <t>Brahmbhatt</t>
  </si>
  <si>
    <t>seher30@setty-manda.com</t>
  </si>
  <si>
    <t>H.No. 038
Kota
Saharanpur-209986</t>
  </si>
  <si>
    <t>vobKF0823</t>
  </si>
  <si>
    <t>aarushbasak@yahoo.com</t>
  </si>
  <si>
    <t>07/966, Lall Zila, Aurangabad 724043</t>
  </si>
  <si>
    <t>adFFF9561</t>
  </si>
  <si>
    <t>rajagopalkiaan@hotmail.com</t>
  </si>
  <si>
    <t>703, Setty Road, Durg-474890</t>
  </si>
  <si>
    <t>ueXWM1076</t>
  </si>
  <si>
    <t>sumer63@badami-ramakrishnan.com</t>
  </si>
  <si>
    <t>H.No. 58, Sethi Zila, Pondicherry 449653</t>
  </si>
  <si>
    <t>uthIr9304</t>
  </si>
  <si>
    <t>Sidhu</t>
  </si>
  <si>
    <t>dardrishya@tara-magar.net</t>
  </si>
  <si>
    <t>07/880
Hayre Street, Sangli-Miraj &amp; Kupwad-164693</t>
  </si>
  <si>
    <t>GdWXB4408</t>
  </si>
  <si>
    <t>madhup11@sangha.biz</t>
  </si>
  <si>
    <t>H.No. 584, Gara Circle, Tiruvottiyur-632119</t>
  </si>
  <si>
    <t>rxTrs7077</t>
  </si>
  <si>
    <t>kashvideshpande@yahoo.com</t>
  </si>
  <si>
    <t>26
Dash Street, Gangtok-053026</t>
  </si>
  <si>
    <t>dvdzp3686</t>
  </si>
  <si>
    <t>vasamadhav@bains.com</t>
  </si>
  <si>
    <t>02/520, Deep
Sangli-Miraj &amp; Kupwad 759795</t>
  </si>
  <si>
    <t>FsQuq0275</t>
  </si>
  <si>
    <t>Deshpande</t>
  </si>
  <si>
    <t>mallickadvik@mand.net</t>
  </si>
  <si>
    <t>58/344
Issac Path, Sangli-Miraj &amp; Kupwad-952179</t>
  </si>
  <si>
    <t>bCasC2486</t>
  </si>
  <si>
    <t>kiaan01@contractor-sane.com</t>
  </si>
  <si>
    <t>H.No. 560
Lall Path, Aurangabad-522441</t>
  </si>
  <si>
    <t>RZuSD4531</t>
  </si>
  <si>
    <t>aaryahigandhi@yahoo.com</t>
  </si>
  <si>
    <t>597, Ratti Road
Tenali 570237</t>
  </si>
  <si>
    <t>Fpnmj0956</t>
  </si>
  <si>
    <t>Sastry</t>
  </si>
  <si>
    <t>nakul26@guha-ranganathan.org</t>
  </si>
  <si>
    <t>773
Savant
Rajahmundry-202320</t>
  </si>
  <si>
    <t>ntFQe8442</t>
  </si>
  <si>
    <t>Rajagopal</t>
  </si>
  <si>
    <t>kantsamarth@yahoo.com</t>
  </si>
  <si>
    <t>31/00, Subramaniam Marg
Sambalpur 226227</t>
  </si>
  <si>
    <t>ZCanJ6470</t>
  </si>
  <si>
    <t>reddyanika@dixit.com</t>
  </si>
  <si>
    <t>H.No. 675
Chacko Circle, Malda-259062</t>
  </si>
  <si>
    <t>ruMFP1497</t>
  </si>
  <si>
    <t>rajaseher@hotmail.com</t>
  </si>
  <si>
    <t>H.No. 493
Tata Street, Junagadh 322394</t>
  </si>
  <si>
    <t>voqba5948</t>
  </si>
  <si>
    <t>shlokissac@kashyap.info</t>
  </si>
  <si>
    <t>378, Sachar Circle
Howrah 841680</t>
  </si>
  <si>
    <t>bWRuG9846</t>
  </si>
  <si>
    <t>Sankar</t>
  </si>
  <si>
    <t>hsuri@tripathi.com</t>
  </si>
  <si>
    <t>H.No. 662
Bawa Nagar
North Dumdum-578645</t>
  </si>
  <si>
    <t>aadyH4764</t>
  </si>
  <si>
    <t>bosejayant@yahoo.com</t>
  </si>
  <si>
    <t>H.No. 899
Divan Chowk, Asansol 386860</t>
  </si>
  <si>
    <t>ZrjnG3094</t>
  </si>
  <si>
    <t>priyanshsami@ahuja.biz</t>
  </si>
  <si>
    <t>79/72
Ganguly Road
Miryalaguda 135694</t>
  </si>
  <si>
    <t>uFOOo4809</t>
  </si>
  <si>
    <t>nehmatviswanathan@gmail.com</t>
  </si>
  <si>
    <t>H.No. 89, Ganesan Street
Phagwara-734203</t>
  </si>
  <si>
    <t>eGBVr9514</t>
  </si>
  <si>
    <t>mangalaaina@gmail.com</t>
  </si>
  <si>
    <t>605, Guha Circle
Dehradun-674831</t>
  </si>
  <si>
    <t>IGjsX1817</t>
  </si>
  <si>
    <t>amiraseshadri@choudhary.info</t>
  </si>
  <si>
    <t>89/02
Comar Street
Chapra 065487</t>
  </si>
  <si>
    <t>mLHeI6755</t>
  </si>
  <si>
    <t>tushar89@ratti.biz</t>
  </si>
  <si>
    <t>87/63
Apte Circle
Pune-612396</t>
  </si>
  <si>
    <t>PyPYW2988</t>
  </si>
  <si>
    <t>anyasridhar@raja.com</t>
  </si>
  <si>
    <t>486, Ramanathan Road, Ranchi-506757</t>
  </si>
  <si>
    <t>XkZQn7731</t>
  </si>
  <si>
    <t>rhea44@dugal.net</t>
  </si>
  <si>
    <t>H.No. 414, Bal Chowk
Jamnagar-503687</t>
  </si>
  <si>
    <t>joOtZ9780</t>
  </si>
  <si>
    <t>bdixit@gmail.com</t>
  </si>
  <si>
    <t>957, Sibal Ganj, Guna-159757</t>
  </si>
  <si>
    <t>vJxTQ0291</t>
  </si>
  <si>
    <t>ysur@kaul.com</t>
  </si>
  <si>
    <t>46
Seth Street, Hapur 841749</t>
  </si>
  <si>
    <t>JePsg8169</t>
  </si>
  <si>
    <t>Subramaniam</t>
  </si>
  <si>
    <t>shahgokul@hotmail.com</t>
  </si>
  <si>
    <t>H.No. 33
Tak Nagar
Khandwa-099621</t>
  </si>
  <si>
    <t>iuVzp6610</t>
  </si>
  <si>
    <t>Chahal</t>
  </si>
  <si>
    <t>jkakar@walla.info</t>
  </si>
  <si>
    <t>H.No. 779, Gade Zila, Avadi 614409</t>
  </si>
  <si>
    <t>hJypF4260</t>
  </si>
  <si>
    <t>csani@varghese-wable.com</t>
  </si>
  <si>
    <t>00/38
Agarwal Path
Thanjavur 134448</t>
  </si>
  <si>
    <t>qxryU7331</t>
  </si>
  <si>
    <t>uraja@gmail.com</t>
  </si>
  <si>
    <t>04/095, Dara Road
Shimla 618308</t>
  </si>
  <si>
    <t>feqoB3915</t>
  </si>
  <si>
    <t>aarna42@yahoo.com</t>
  </si>
  <si>
    <t>80, Venkatesh Street, Adoni-315423</t>
  </si>
  <si>
    <t>iksVg5505</t>
  </si>
  <si>
    <t>battayakshit@warrior-dash.com</t>
  </si>
  <si>
    <t>240, Dutta Nagar
Dharmavaram-220562</t>
  </si>
  <si>
    <t>moPlx3391</t>
  </si>
  <si>
    <t>kabir86@som-suri.com</t>
  </si>
  <si>
    <t>H.No. 249
Kale Circle, Nellore-209536</t>
  </si>
  <si>
    <t>vSlyz3561</t>
  </si>
  <si>
    <t>gdoctor@yahoo.com</t>
  </si>
  <si>
    <t>369
Buch Path, Mango-665353</t>
  </si>
  <si>
    <t>jtgvE3679</t>
  </si>
  <si>
    <t>qdasgupta@hotmail.com</t>
  </si>
  <si>
    <t>H.No. 682
Mandal Road
Gudivada 998161</t>
  </si>
  <si>
    <t>ZnEiy0307</t>
  </si>
  <si>
    <t>rsetty@chawla.com</t>
  </si>
  <si>
    <t>947
Chanda Marg, Alwar 926456</t>
  </si>
  <si>
    <t>GQfQh3694</t>
  </si>
  <si>
    <t>shalvchoudhary@bhakta.biz</t>
  </si>
  <si>
    <t>H.No. 90, Iyer Zila
Tezpur 901333</t>
  </si>
  <si>
    <t>ZSqfU4098</t>
  </si>
  <si>
    <t>somanay@gmail.com</t>
  </si>
  <si>
    <t>H.No. 288, Varkey Marg, Kochi 801990</t>
  </si>
  <si>
    <t>umeBd4203</t>
  </si>
  <si>
    <t>varmarati@gmail.com</t>
  </si>
  <si>
    <t>219, Vaidya Road, Bhavnagar-702881</t>
  </si>
  <si>
    <t>EGxFy1936</t>
  </si>
  <si>
    <t>srinivaskashvi@yahoo.com</t>
  </si>
  <si>
    <t>21/540, Savant Zila
Gwalior-350696</t>
  </si>
  <si>
    <t>aiOxs2741</t>
  </si>
  <si>
    <t>Sem</t>
  </si>
  <si>
    <t>dishani99@gmail.com</t>
  </si>
  <si>
    <t>H.No. 19, Kalita Path
Karnal 355842</t>
  </si>
  <si>
    <t>aEbQc5046</t>
  </si>
  <si>
    <t>voraaarush@gmail.com</t>
  </si>
  <si>
    <t>90/41
Bir Chowk, Chennai-623811</t>
  </si>
  <si>
    <t>rEujH2408</t>
  </si>
  <si>
    <t>umangwalia@sarraf.com</t>
  </si>
  <si>
    <t>H.No. 35, Bora Chowk, Bettiah 064157</t>
  </si>
  <si>
    <t>NsTvp1041</t>
  </si>
  <si>
    <t>chahaldharmajan@kumer.org</t>
  </si>
  <si>
    <t>35, Mammen Chowk
Ambattur-891213</t>
  </si>
  <si>
    <t>YxLKt8557</t>
  </si>
  <si>
    <t>Sodhi</t>
  </si>
  <si>
    <t>elakshiramanathan@hotmail.com</t>
  </si>
  <si>
    <t>10, Gandhi Marg, Jaunpur-374570</t>
  </si>
  <si>
    <t>diwoO1498</t>
  </si>
  <si>
    <t>Kunda</t>
  </si>
  <si>
    <t>lvasa@yahoo.com</t>
  </si>
  <si>
    <t>23/242
Dora Ganj
Patna 172415</t>
  </si>
  <si>
    <t>lFKZy4906</t>
  </si>
  <si>
    <t>jivin31@yahoo.com</t>
  </si>
  <si>
    <t>040
Ramakrishnan Street
Katni-991721</t>
  </si>
  <si>
    <t>wRpLl7821</t>
  </si>
  <si>
    <t>dorahazel@aggarwal-chanda.com</t>
  </si>
  <si>
    <t>H.No. 901
Dar
Rajpur Sonarpur 937971</t>
  </si>
  <si>
    <t>yTTRr6225</t>
  </si>
  <si>
    <t>Koshy</t>
  </si>
  <si>
    <t>yashvi53@sharaf.com</t>
  </si>
  <si>
    <t>81
Gandhi Road, Ramagundam-437019</t>
  </si>
  <si>
    <t>lQEPW6505</t>
  </si>
  <si>
    <t>hanshdas@sandal.biz</t>
  </si>
  <si>
    <t>H.No. 676
Ganesh Ganj, Bhavnagar-371859</t>
  </si>
  <si>
    <t>jMtmb7114</t>
  </si>
  <si>
    <t>adira59@rattan.biz</t>
  </si>
  <si>
    <t>784, Korpal Zila, Mehsana-591538</t>
  </si>
  <si>
    <t>CYoxe6426</t>
  </si>
  <si>
    <t>hde@yahoo.com</t>
  </si>
  <si>
    <t>249
Sathe Road, Jamshedpur 462506</t>
  </si>
  <si>
    <t>ATFlM0627</t>
  </si>
  <si>
    <t>adira50@borah.com</t>
  </si>
  <si>
    <t>04/57
Kata, Dindigul-840703</t>
  </si>
  <si>
    <t>KSTru3720</t>
  </si>
  <si>
    <t>bhalladarshit@wagle.com</t>
  </si>
  <si>
    <t>42/64
Chaudry Circle
Rajpur Sonarpur 796082</t>
  </si>
  <si>
    <t>ibJxA9469</t>
  </si>
  <si>
    <t>Mander</t>
  </si>
  <si>
    <t>barademir@dhingra-hayre.com</t>
  </si>
  <si>
    <t>08/03
Sha Circle, Baranagar-104043</t>
  </si>
  <si>
    <t>PnEtD8148</t>
  </si>
  <si>
    <t>kohlialisha@hotmail.com</t>
  </si>
  <si>
    <t>H.No. 902, Subramanian Chowk, Machilipatnam 716115</t>
  </si>
  <si>
    <t>VTHmQ6759</t>
  </si>
  <si>
    <t>Buch</t>
  </si>
  <si>
    <t>rajastuvan@yahoo.com</t>
  </si>
  <si>
    <t>28/535
Dasgupta Ganj, Ichalkaranji 662177</t>
  </si>
  <si>
    <t>XmajY7930</t>
  </si>
  <si>
    <t>zoya02@bhatnagar-vohra.net</t>
  </si>
  <si>
    <t>13
Suri Nagar, Jhansi 897207</t>
  </si>
  <si>
    <t>SUEPG4252</t>
  </si>
  <si>
    <t>pari47@wali.com</t>
  </si>
  <si>
    <t>77/196
Sane Zila, Moradabad 596566</t>
  </si>
  <si>
    <t>NTxjk4400</t>
  </si>
  <si>
    <t>mishasarraf@gmail.com</t>
  </si>
  <si>
    <t>H.No. 47, Kade Ganj, Raipur-791150</t>
  </si>
  <si>
    <t>KTnQq2658</t>
  </si>
  <si>
    <t>emirdhar@jaggi.com</t>
  </si>
  <si>
    <t>866
Sane Road, Bhatpara 317266</t>
  </si>
  <si>
    <t>acZcS2724</t>
  </si>
  <si>
    <t>ranbir32@vyas-bhandari.biz</t>
  </si>
  <si>
    <t>33/563, Ram Marg
Ahmedabad-000908</t>
  </si>
  <si>
    <t>PovSr8028</t>
  </si>
  <si>
    <t>daratrisha@yahoo.com</t>
  </si>
  <si>
    <t>08/12, Sandal Street, Saharsa-594747</t>
  </si>
  <si>
    <t>mMCNG0967</t>
  </si>
  <si>
    <t>jainzoya@kala-khatri.com</t>
  </si>
  <si>
    <t>28
Tailor Circle, Alappuzha-688501</t>
  </si>
  <si>
    <t>aKSSm6788</t>
  </si>
  <si>
    <t>Rout</t>
  </si>
  <si>
    <t>zaradutt@hotmail.com</t>
  </si>
  <si>
    <t>H.No. 59, Khatri Chowk
Saharanpur 597640</t>
  </si>
  <si>
    <t>vEJLm1716</t>
  </si>
  <si>
    <t>dbahri@hotmail.com</t>
  </si>
  <si>
    <t>H.No. 924, Rajan Road, Nagaon 875703</t>
  </si>
  <si>
    <t>FrkKW1860</t>
  </si>
  <si>
    <t>Iyer</t>
  </si>
  <si>
    <t>handajayan@ahuja.com</t>
  </si>
  <si>
    <t>H.No. 26, Boase Marg
Chapra 537405</t>
  </si>
  <si>
    <t>YnxPt0687</t>
  </si>
  <si>
    <t>dishani34@shanker.com</t>
  </si>
  <si>
    <t>73, Hayre Marg, Kadapa-320775</t>
  </si>
  <si>
    <t>pUBMS8344</t>
  </si>
  <si>
    <t>kkata@hotmail.com</t>
  </si>
  <si>
    <t>34, Sibal Street
Tezpur 773729</t>
  </si>
  <si>
    <t>wcRiS5851</t>
  </si>
  <si>
    <t>Ravi</t>
  </si>
  <si>
    <t>qraju@sankar.com</t>
  </si>
  <si>
    <t>53/11
Bobal Zila
Nagercoil-426527</t>
  </si>
  <si>
    <t>mJTRw5738</t>
  </si>
  <si>
    <t>shray55@hotmail.com</t>
  </si>
  <si>
    <t>06/272
Uppal Circle
Vijayanagaram-337461</t>
  </si>
  <si>
    <t>qHhGY2608</t>
  </si>
  <si>
    <t>Kant</t>
  </si>
  <si>
    <t>subramanianmiraan@ram.biz</t>
  </si>
  <si>
    <t>H.No. 50, Sen Path, Cuttack-731234</t>
  </si>
  <si>
    <t>Mpztx2025</t>
  </si>
  <si>
    <t>lkaul@hotmail.com</t>
  </si>
  <si>
    <t>54/904, Chatterjee Road
Saharsa 436953</t>
  </si>
  <si>
    <t>RDMiy6291</t>
  </si>
  <si>
    <t>mirayabrahmbhatt@gmail.com</t>
  </si>
  <si>
    <t>91, Kant Path
Jaunpur 710529</t>
  </si>
  <si>
    <t>rudaZ5304</t>
  </si>
  <si>
    <t>chadakimaya@yahoo.com</t>
  </si>
  <si>
    <t>03
Deshpande Nagar, Mahbubnagar-467541</t>
  </si>
  <si>
    <t>edWug8272</t>
  </si>
  <si>
    <t>yashvi32@solanki.com</t>
  </si>
  <si>
    <t>16/36
Dani Nagar
Nangloi Jat 690789</t>
  </si>
  <si>
    <t>EaDhB1410</t>
  </si>
  <si>
    <t>singhalfaiyaz@hotmail.com</t>
  </si>
  <si>
    <t>45/456
Keer
Tadepalligudem 556192</t>
  </si>
  <si>
    <t>Lwzgi6263</t>
  </si>
  <si>
    <t>sshenoy@butala.com</t>
  </si>
  <si>
    <t>61/446
Chakrabarti Marg
Khandwa-304117</t>
  </si>
  <si>
    <t>VAnAq1968</t>
  </si>
  <si>
    <t>jmajumdar@agarwal.com</t>
  </si>
  <si>
    <t>93/631
Mani Path
Ulhasnagar-270659</t>
  </si>
  <si>
    <t>iGkrE1872</t>
  </si>
  <si>
    <t>swarrior@hotmail.com</t>
  </si>
  <si>
    <t>H.No. 22, Korpal Zila, Bhubaneswar-865658</t>
  </si>
  <si>
    <t>AmgkM5631</t>
  </si>
  <si>
    <t>basukaira@gmail.com</t>
  </si>
  <si>
    <t>20/13
Krish Nagar
Purnia 532163</t>
  </si>
  <si>
    <t>SMdpE9004</t>
  </si>
  <si>
    <t>anyavarghese@sha-chopra.org</t>
  </si>
  <si>
    <t>H.No. 51, Tailor Chowk
Coimbatore-581476</t>
  </si>
  <si>
    <t>qgnUX9945</t>
  </si>
  <si>
    <t>urvi90@hotmail.com</t>
  </si>
  <si>
    <t>H.No. 98
Bir Chowk, Patna-177351</t>
  </si>
  <si>
    <t>SihEQ6707</t>
  </si>
  <si>
    <t>psamra@sha.biz</t>
  </si>
  <si>
    <t>H.No. 181
Dhillon Road, Gulbarga 842024</t>
  </si>
  <si>
    <t>AraNZ8615</t>
  </si>
  <si>
    <t>myra24@yahoo.com</t>
  </si>
  <si>
    <t>26/11, Rout Nagar
Ratlam 594299</t>
  </si>
  <si>
    <t>wooIy9229</t>
  </si>
  <si>
    <t>Mane</t>
  </si>
  <si>
    <t>aarav66@chakrabarti.com</t>
  </si>
  <si>
    <t>348
Ramakrishnan Circle, Patiala 375186</t>
  </si>
  <si>
    <t>NiJvv3826</t>
  </si>
  <si>
    <t>Kar</t>
  </si>
  <si>
    <t>oupadhyay@gmail.com</t>
  </si>
  <si>
    <t>64/53
Rama Path
Nandyal-504718</t>
  </si>
  <si>
    <t>sVUNP8734</t>
  </si>
  <si>
    <t>karnikrati@hotmail.com</t>
  </si>
  <si>
    <t>01/49
Barman Chowk
Indore 847156</t>
  </si>
  <si>
    <t>FQsqK6016</t>
  </si>
  <si>
    <t>royshamik@yahoo.com</t>
  </si>
  <si>
    <t>54, Bir Nagar, Mangalore-178925</t>
  </si>
  <si>
    <t>tGYeO7626</t>
  </si>
  <si>
    <t>adviksem@gmail.com</t>
  </si>
  <si>
    <t>789, Rama Marg
Guwahati 048527</t>
  </si>
  <si>
    <t>nqtRs2036</t>
  </si>
  <si>
    <t>tusharkannan@kade.com</t>
  </si>
  <si>
    <t>H.No. 744, Kashyap Path, Haldia-626367</t>
  </si>
  <si>
    <t>RsPps7594</t>
  </si>
  <si>
    <t>emallick@yahoo.com</t>
  </si>
  <si>
    <t>076
Goel Chowk
Aizawl 534115</t>
  </si>
  <si>
    <t>zwUGj4065</t>
  </si>
  <si>
    <t>zainkale@raval.com</t>
  </si>
  <si>
    <t>09
Banerjee Zila
Sambalpur 956119</t>
  </si>
  <si>
    <t>YrzBe5837</t>
  </si>
  <si>
    <t>psampath@yahoo.com</t>
  </si>
  <si>
    <t>52/565, Raj
Pune-423302</t>
  </si>
  <si>
    <t>jeqdw9862</t>
  </si>
  <si>
    <t>Chokshi</t>
  </si>
  <si>
    <t>amani85@de.com</t>
  </si>
  <si>
    <t>H.No. 359, Dhaliwal Road, Pune 387351</t>
  </si>
  <si>
    <t>Rmajw3518</t>
  </si>
  <si>
    <t>kondaira@gade.org</t>
  </si>
  <si>
    <t>12/865
Swamy Path
Gandhinagar 592383</t>
  </si>
  <si>
    <t>ymqiT3814</t>
  </si>
  <si>
    <t>kuriansaksham@keer.com</t>
  </si>
  <si>
    <t>H.No. 61, Dash Ganj
Thoothukudi 530153</t>
  </si>
  <si>
    <t>xNJtQ1096</t>
  </si>
  <si>
    <t>yuvraj-rana@deol.com</t>
  </si>
  <si>
    <t>19/106
Saran Zila, Nadiad-008224</t>
  </si>
  <si>
    <t>PYyNK7562</t>
  </si>
  <si>
    <t>nitarasura@ravel.info</t>
  </si>
  <si>
    <t>70/32, Aurora Street
Madhyamgram-859724</t>
  </si>
  <si>
    <t>ZPbTj2058</t>
  </si>
  <si>
    <t>anvi47@yahoo.com</t>
  </si>
  <si>
    <t>90/418, Krishnan, Junagadh 430165</t>
  </si>
  <si>
    <t>SNNpe7656</t>
  </si>
  <si>
    <t>Hayer</t>
  </si>
  <si>
    <t>anya94@shetty.com</t>
  </si>
  <si>
    <t>03/51, Varty Road
Sambalpur 944191</t>
  </si>
  <si>
    <t>VAEnO3951</t>
  </si>
  <si>
    <t>vaibhav29@gmail.com</t>
  </si>
  <si>
    <t>828, Sidhu Nagar, Hajipur 235306</t>
  </si>
  <si>
    <t>ruZJo8096</t>
  </si>
  <si>
    <t>wedwin@subramaniam.org</t>
  </si>
  <si>
    <t>H.No. 87
Bassi Road
Jalna-267511</t>
  </si>
  <si>
    <t>XPBth5515</t>
  </si>
  <si>
    <t>Jaggi</t>
  </si>
  <si>
    <t>horavardaniya@toor.com</t>
  </si>
  <si>
    <t>22/422
Dey Circle, Farrukhabad 766809</t>
  </si>
  <si>
    <t>evoCV3480</t>
  </si>
  <si>
    <t>keyabose@yahoo.com</t>
  </si>
  <si>
    <t>46
Kota Street
Nashik 364991</t>
  </si>
  <si>
    <t>uUYPQ0215</t>
  </si>
  <si>
    <t>madhav95@yahoo.com</t>
  </si>
  <si>
    <t>H.No. 60
Mand Chowk, Ongole-199198</t>
  </si>
  <si>
    <t>vnRgB1492</t>
  </si>
  <si>
    <t>usridhar@hotmail.com</t>
  </si>
  <si>
    <t>H.No. 554
Deep
Farrukhabad 687715</t>
  </si>
  <si>
    <t>wnxLD6341</t>
  </si>
  <si>
    <t>nitarabanik@hotmail.com</t>
  </si>
  <si>
    <t>255
Krishna Chowk, Rewa 135474</t>
  </si>
  <si>
    <t>xwJbX3285</t>
  </si>
  <si>
    <t>Shere</t>
  </si>
  <si>
    <t>mishti13@chacko-dar.com</t>
  </si>
  <si>
    <t>H.No. 407
Dass Zila, Guntakal 147973</t>
  </si>
  <si>
    <t>chDbm7456</t>
  </si>
  <si>
    <t>ymangat@hotmail.com</t>
  </si>
  <si>
    <t>86, Chakraborty, Satara 621593</t>
  </si>
  <si>
    <t>MAcFd3558</t>
  </si>
  <si>
    <t>deshpandekanav@ramakrishnan.com</t>
  </si>
  <si>
    <t>49/366
Dugar Ganj
Tezpur-714803</t>
  </si>
  <si>
    <t>lQApU0825</t>
  </si>
  <si>
    <t>yashvisuresh@barad.com</t>
  </si>
  <si>
    <t>11, Konda, Thoothukudi 657446</t>
  </si>
  <si>
    <t>nyCmG1851</t>
  </si>
  <si>
    <t>loyalvanya@yahoo.com</t>
  </si>
  <si>
    <t>H.No. 62, Atwal Street, Bhilwara-335401</t>
  </si>
  <si>
    <t>DEcUK8764</t>
  </si>
  <si>
    <t>Kade</t>
  </si>
  <si>
    <t>pkade@sankaran-tripathi.com</t>
  </si>
  <si>
    <t>H.No. 720, Mahajan Road, Kishanganj-418693</t>
  </si>
  <si>
    <t>Nfzcu7419</t>
  </si>
  <si>
    <t>shayaktalwar@hotmail.com</t>
  </si>
  <si>
    <t>01/815
Mangat Circle
Maheshtala 829670</t>
  </si>
  <si>
    <t>Yailh2526</t>
  </si>
  <si>
    <t>inaaya-38@char-sanghvi.org</t>
  </si>
  <si>
    <t>57, Wali Ganj
Guwahati 454693</t>
  </si>
  <si>
    <t>vxGOL3319</t>
  </si>
  <si>
    <t>arhaangera@krishna-kara.com</t>
  </si>
  <si>
    <t>460, Batra Path, Nizamabad 895337</t>
  </si>
  <si>
    <t>otuPT0064</t>
  </si>
  <si>
    <t>wganesan@yahoo.com</t>
  </si>
  <si>
    <t>H.No. 048
Yadav Road, Dharmavaram 731815</t>
  </si>
  <si>
    <t>Ahggd5947</t>
  </si>
  <si>
    <t>Mani</t>
  </si>
  <si>
    <t>ivanhari@hotmail.com</t>
  </si>
  <si>
    <t>54/03
Ahluwalia
Nadiad-606699</t>
  </si>
  <si>
    <t>CMxDc9777</t>
  </si>
  <si>
    <t>balaadvika@gola.com</t>
  </si>
  <si>
    <t>068, Dhawan Street, Ujjain-330239</t>
  </si>
  <si>
    <t>NwPim4306</t>
  </si>
  <si>
    <t>Kanda</t>
  </si>
  <si>
    <t>srivastavavaibhav@date-lanka.net</t>
  </si>
  <si>
    <t>75/31
Mann Zila, Bardhaman 554280</t>
  </si>
  <si>
    <t>OCIzb8688</t>
  </si>
  <si>
    <t>njohal@hotmail.com</t>
  </si>
  <si>
    <t>87/28
Chaudhuri Chowk
Chandrapur-495629</t>
  </si>
  <si>
    <t>GaEab3288</t>
  </si>
  <si>
    <t>senguptaayesha@dixit-goswami.com</t>
  </si>
  <si>
    <t>H.No. 87
Biswas
Pimpri-Chinchwad 662750</t>
  </si>
  <si>
    <t>IXvsV3607</t>
  </si>
  <si>
    <t>ybakshi@venkatesh.com</t>
  </si>
  <si>
    <t>267, Desai Zila, Orai-970150</t>
  </si>
  <si>
    <t>chJjJ5192</t>
  </si>
  <si>
    <t>kiarabehl@yahoo.com</t>
  </si>
  <si>
    <t>H.No. 163
Roy, Gwalior 920757</t>
  </si>
  <si>
    <t>MfHIp2625</t>
  </si>
  <si>
    <t>kiaan54@yadav.info</t>
  </si>
  <si>
    <t>H.No. 71
Zacharia Path
Aizawl-802990</t>
  </si>
  <si>
    <t>saMeA0009</t>
  </si>
  <si>
    <t>arhaanchoudhry@yahoo.com</t>
  </si>
  <si>
    <t>14/01, Borah Path
New Delhi-172264</t>
  </si>
  <si>
    <t>nvNHV4293</t>
  </si>
  <si>
    <t>godanishith@hotmail.com</t>
  </si>
  <si>
    <t>624, Sethi Chowk
Sambhal 003299</t>
  </si>
  <si>
    <t>FpVTu4278</t>
  </si>
  <si>
    <t>zgopal@yahoo.com</t>
  </si>
  <si>
    <t>H.No. 39, Raj Marg
Bally-392528</t>
  </si>
  <si>
    <t>rvpOR3073</t>
  </si>
  <si>
    <t>riyatank@yahoo.com</t>
  </si>
  <si>
    <t>350, Bansal Path
Nashik-325107</t>
  </si>
  <si>
    <t>vztef4224</t>
  </si>
  <si>
    <t>sanawali@zacharia-anne.com</t>
  </si>
  <si>
    <t>41/97
Ganesan Zila
Satara-716632</t>
  </si>
  <si>
    <t>puiaX1856</t>
  </si>
  <si>
    <t>crajan@yahoo.com</t>
  </si>
  <si>
    <t>360
Bail Circle
Moradabad 146103</t>
  </si>
  <si>
    <t>QhypJ3046</t>
  </si>
  <si>
    <t>zganesh@loyal.biz</t>
  </si>
  <si>
    <t>00/72, Brar Chowk, Begusarai-472373</t>
  </si>
  <si>
    <t>HWMLO0697</t>
  </si>
  <si>
    <t>kdeep@gmail.com</t>
  </si>
  <si>
    <t>86/75
Vig Zila, Pallavaram-164560</t>
  </si>
  <si>
    <t>bUciw7392</t>
  </si>
  <si>
    <t>jsankaran@yahoo.com</t>
  </si>
  <si>
    <t>15, Mahal Road
Jamnagar 124025</t>
  </si>
  <si>
    <t>nKFzO0998</t>
  </si>
  <si>
    <t>Dani</t>
  </si>
  <si>
    <t>trishasampath@atwal.org</t>
  </si>
  <si>
    <t>529
Ranganathan Road
Surat 417996</t>
  </si>
  <si>
    <t>kjvjC1896</t>
  </si>
  <si>
    <t>Gade</t>
  </si>
  <si>
    <t>dsharaf@yahoo.com</t>
  </si>
  <si>
    <t>H.No. 15, Manda Circle
Firozabad 828051</t>
  </si>
  <si>
    <t>XrFON7884</t>
  </si>
  <si>
    <t>romil20@gmail.com</t>
  </si>
  <si>
    <t>82/488
Chandran Marg
Sambalpur-371450</t>
  </si>
  <si>
    <t>QKAay4193</t>
  </si>
  <si>
    <t>samaira76@majumdar.com</t>
  </si>
  <si>
    <t>H.No. 341, Batra Road, Coimbatore 181405</t>
  </si>
  <si>
    <t>AaKVr7085</t>
  </si>
  <si>
    <t>Bajwa</t>
  </si>
  <si>
    <t>zoya56@dugar-khalsa.com</t>
  </si>
  <si>
    <t>H.No. 79
Subramanian Road
Malda-033744</t>
  </si>
  <si>
    <t>sflOz1369</t>
  </si>
  <si>
    <t>pissac@gmail.com</t>
  </si>
  <si>
    <t>H.No. 896, Divan Path
Bareilly 536064</t>
  </si>
  <si>
    <t>LrGqH8698</t>
  </si>
  <si>
    <t>neysakhosla@yahoo.com</t>
  </si>
  <si>
    <t>078, Bhakta Zila, Mango 960049</t>
  </si>
  <si>
    <t>ooQQH6743</t>
  </si>
  <si>
    <t>Saini</t>
  </si>
  <si>
    <t>nirvaan00@ranganathan-saran.org</t>
  </si>
  <si>
    <t>65/361
Khare
Noida-739462</t>
  </si>
  <si>
    <t>QZyJD3927</t>
  </si>
  <si>
    <t>xaggarwal@mammen-rege.com</t>
  </si>
  <si>
    <t>H.No. 79, Bhargava Street, Munger-506989</t>
  </si>
  <si>
    <t>QOPux7014</t>
  </si>
  <si>
    <t>samarth29@bala.org</t>
  </si>
  <si>
    <t>H.No. 001
Sama Zila
Gwalior-616197</t>
  </si>
  <si>
    <t>iPWmH0088</t>
  </si>
  <si>
    <t>eva17@hotmail.com</t>
  </si>
  <si>
    <t>65/561, Biswas, Madurai-206318</t>
  </si>
  <si>
    <t>MpBGm6416</t>
  </si>
  <si>
    <t>Rattan</t>
  </si>
  <si>
    <t>nirvichakraborty@boase-subramaniam.net</t>
  </si>
  <si>
    <t>12
Wali Marg
Surendranagar Dudhrej-999522</t>
  </si>
  <si>
    <t>hhetY6868</t>
  </si>
  <si>
    <t>Choudhry</t>
  </si>
  <si>
    <t>rati59@hotmail.com</t>
  </si>
  <si>
    <t>27/879
Chada Nagar
Gangtok 204637</t>
  </si>
  <si>
    <t>IYalN5841</t>
  </si>
  <si>
    <t>tarini51@hotmail.com</t>
  </si>
  <si>
    <t>74/111
Sandal Chowk
Katni-038625</t>
  </si>
  <si>
    <t>Icxzp3300</t>
  </si>
  <si>
    <t>Sharaf</t>
  </si>
  <si>
    <t>walianaya@sehgal.com</t>
  </si>
  <si>
    <t>73/654, Ghosh Circle
Udaipur 720197</t>
  </si>
  <si>
    <t>Ozuek7963</t>
  </si>
  <si>
    <t>Setty</t>
  </si>
  <si>
    <t>rhea22@yahoo.com</t>
  </si>
  <si>
    <t>00/360, Bhavsar Chowk
New Delhi-028303</t>
  </si>
  <si>
    <t>MhATz9280</t>
  </si>
  <si>
    <t>ojas10@yahoo.com</t>
  </si>
  <si>
    <t>49
Agate Chowk
Bongaigaon 458015</t>
  </si>
  <si>
    <t>hwaub9241</t>
  </si>
  <si>
    <t>rashabumb@sahota.com</t>
  </si>
  <si>
    <t>74, Gill Ganj, Howrah 762539</t>
  </si>
  <si>
    <t>TIJIl6277</t>
  </si>
  <si>
    <t>Bahri</t>
  </si>
  <si>
    <t>ibhargava@bandi-sura.com</t>
  </si>
  <si>
    <t>35/54, Raju Path
Ranchi-596757</t>
  </si>
  <si>
    <t>AjCqu0457</t>
  </si>
  <si>
    <t>Vig</t>
  </si>
  <si>
    <t>nirvi22@soni.com</t>
  </si>
  <si>
    <t>H.No. 083
Karnik Road, Madurai-898993</t>
  </si>
  <si>
    <t>gOvSz9927</t>
  </si>
  <si>
    <t>mahajantrisha@yahoo.com</t>
  </si>
  <si>
    <t>30
Agrawal
Nandyal-794999</t>
  </si>
  <si>
    <t>iyOXv6926</t>
  </si>
  <si>
    <t>mishti90@tak-raman.org</t>
  </si>
  <si>
    <t>57/83
Gala Chowk, Suryapet-678434</t>
  </si>
  <si>
    <t>FGIny3500</t>
  </si>
  <si>
    <t>ishitaganesan@hotmail.com</t>
  </si>
  <si>
    <t>126, Chaudhari Path
Berhampore 551497</t>
  </si>
  <si>
    <t>YNvcL7146</t>
  </si>
  <si>
    <t>chatterjeeaaina@yahoo.com</t>
  </si>
  <si>
    <t>47/61
Bhagat Street, Kavali 270650</t>
  </si>
  <si>
    <t>JSwpQ6446</t>
  </si>
  <si>
    <t>Dave</t>
  </si>
  <si>
    <t>fkrish@raman.com</t>
  </si>
  <si>
    <t>27/639, Balasubramanian
Bulandshahr-082369</t>
  </si>
  <si>
    <t>zgDXM7550</t>
  </si>
  <si>
    <t>Kalita</t>
  </si>
  <si>
    <t>manjari07@yahoo.com</t>
  </si>
  <si>
    <t>H.No. 621, Sachar Circle, Patiala-919296</t>
  </si>
  <si>
    <t>JijGo2600</t>
  </si>
  <si>
    <t>irabora@gmail.com</t>
  </si>
  <si>
    <t>280, Chacko Zila, Gangtok-446658</t>
  </si>
  <si>
    <t>SOqvl6472</t>
  </si>
  <si>
    <t>zeeshan57@karnik-soni.com</t>
  </si>
  <si>
    <t>988, Karan, Bongaigaon-268092</t>
  </si>
  <si>
    <t>PHBcv5371</t>
  </si>
  <si>
    <t>boraanahita@hotmail.com</t>
  </si>
  <si>
    <t>428, Dani Path
Gopalpur-601991</t>
  </si>
  <si>
    <t>gxkcE0867</t>
  </si>
  <si>
    <t>Sachar</t>
  </si>
  <si>
    <t>yraju@yahoo.com</t>
  </si>
  <si>
    <t>10
Bandi Path
Visakhapatnam-070178</t>
  </si>
  <si>
    <t>lcfaR7239</t>
  </si>
  <si>
    <t>onkar25@gmail.com</t>
  </si>
  <si>
    <t>20/416
Bhalla Road, Rajpur Sonarpur-405133</t>
  </si>
  <si>
    <t>HuvFX8160</t>
  </si>
  <si>
    <t>Swamy</t>
  </si>
  <si>
    <t>purab99@kurian.com</t>
  </si>
  <si>
    <t>405
Datta Chowk, Bathinda 999863</t>
  </si>
  <si>
    <t>xZSeI1108</t>
  </si>
  <si>
    <t>krishnanitya@gmail.com</t>
  </si>
  <si>
    <t>34/800
Borah Street
Bilaspur 597205</t>
  </si>
  <si>
    <t>RqMUI2147</t>
  </si>
  <si>
    <t>Kapoor</t>
  </si>
  <si>
    <t>dhanushdeep@yahoo.com</t>
  </si>
  <si>
    <t>758
Tailor Nagar
Hapur 926769</t>
  </si>
  <si>
    <t>qCWse4458</t>
  </si>
  <si>
    <t>nitara19@gmail.com</t>
  </si>
  <si>
    <t>890
Bose Zila, Dehri 479365</t>
  </si>
  <si>
    <t>vNqHb0706</t>
  </si>
  <si>
    <t>D’Alia</t>
  </si>
  <si>
    <t>ibandi@ravi-sachar.com</t>
  </si>
  <si>
    <t>56
Venkataraman Ganj, Vasai-Virar 138078</t>
  </si>
  <si>
    <t>Gzyow5985</t>
  </si>
  <si>
    <t>lkalita@dugar.com</t>
  </si>
  <si>
    <t>882
Dhar Circle, Vadodara-203132</t>
  </si>
  <si>
    <t>siYCV6686</t>
  </si>
  <si>
    <t>aarushkrishnan@kapur-mand.com</t>
  </si>
  <si>
    <t>H.No. 062
Comar Circle, Shimoga 573562</t>
  </si>
  <si>
    <t>ndiXD8597</t>
  </si>
  <si>
    <t>shlok54@lad-ramakrishnan.com</t>
  </si>
  <si>
    <t>04/116
Mallick Chowk, Karimnagar-467386</t>
  </si>
  <si>
    <t>NeSks3322</t>
  </si>
  <si>
    <t>indranil64@gmail.com</t>
  </si>
  <si>
    <t>H.No. 895
Balan Ganj, Warangal-339801</t>
  </si>
  <si>
    <t>uJXec6890</t>
  </si>
  <si>
    <t>kkorpal@sinha.com</t>
  </si>
  <si>
    <t>69/57
Sama, Nagercoil-595995</t>
  </si>
  <si>
    <t>seJoN1485</t>
  </si>
  <si>
    <t>vohradarshit@hotmail.com</t>
  </si>
  <si>
    <t>H.No. 57, Savant Road
Imphal-030276</t>
  </si>
  <si>
    <t>UfYkV3532</t>
  </si>
  <si>
    <t>Vyas</t>
  </si>
  <si>
    <t>tataishita@golla.com</t>
  </si>
  <si>
    <t>59/90
Dhaliwal Nagar, Narasaraopet 123254</t>
  </si>
  <si>
    <t>emnMX4857</t>
  </si>
  <si>
    <t>sodhifarhan@arya.org</t>
  </si>
  <si>
    <t>13/01, Rajagopalan Road
Karaikudi 298908</t>
  </si>
  <si>
    <t>LcGje1919</t>
  </si>
  <si>
    <t>Chopra</t>
  </si>
  <si>
    <t>riya17@ahluwalia.com</t>
  </si>
  <si>
    <t>74/05, Bhalla Nagar
Tiruppur 034495</t>
  </si>
  <si>
    <t>wTPDj7752</t>
  </si>
  <si>
    <t>bvaidya@gmail.com</t>
  </si>
  <si>
    <t>H.No. 667, Ahuja Nagar, Hindupur-696693</t>
  </si>
  <si>
    <t>erPdJ0097</t>
  </si>
  <si>
    <t>nirvaankaur@rama-setty.com</t>
  </si>
  <si>
    <t>858, Sankar Street, Jamalpur-455139</t>
  </si>
  <si>
    <t>JTFmz7883</t>
  </si>
  <si>
    <t>zain64@hotmail.com</t>
  </si>
  <si>
    <t>41/637
Bhattacharyya Zila, Silchar-175529</t>
  </si>
  <si>
    <t>qZfxC8114</t>
  </si>
  <si>
    <t>maurora@yahoo.com</t>
  </si>
  <si>
    <t>92/60, Garde Path
Gopalpur 542683</t>
  </si>
  <si>
    <t>vKwRA4454</t>
  </si>
  <si>
    <t>lsura@deol-sankar.com</t>
  </si>
  <si>
    <t>36/838
Saha Path
Amaravati 709340</t>
  </si>
  <si>
    <t>rHOqJ6403</t>
  </si>
  <si>
    <t>Chandra</t>
  </si>
  <si>
    <t>zoya29@datta-dhar.org</t>
  </si>
  <si>
    <t>54/21
Upadhyay Chowk, Raebareli-752800</t>
  </si>
  <si>
    <t>uRhAT5923</t>
  </si>
  <si>
    <t>Majumdar</t>
  </si>
  <si>
    <t>gmall@sanghvi.org</t>
  </si>
  <si>
    <t>61
Bahri Ganj, Buxar 841423</t>
  </si>
  <si>
    <t>JhQnd5679</t>
  </si>
  <si>
    <t>sandalelakshi@hotmail.com</t>
  </si>
  <si>
    <t>07/911, Bhasin Marg, Dewas 446119</t>
  </si>
  <si>
    <t>TlpFU3885</t>
  </si>
  <si>
    <t>shamikbatta@bassi.net</t>
  </si>
  <si>
    <t>679, Balan
Machilipatnam 028653</t>
  </si>
  <si>
    <t>mRVEa2100</t>
  </si>
  <si>
    <t>armaankrish@badal.net</t>
  </si>
  <si>
    <t>49/26
Sen Chowk
Panvel-629650</t>
  </si>
  <si>
    <t>XMGkG6541</t>
  </si>
  <si>
    <t>chanderadira@issac.com</t>
  </si>
  <si>
    <t>645, Grewal Street
Rajahmundry 090740</t>
  </si>
  <si>
    <t>hivTJ7675</t>
  </si>
  <si>
    <t>Krish</t>
  </si>
  <si>
    <t>bhaminikalla@chopra.com</t>
  </si>
  <si>
    <t>62/837
Wason Street
Mehsana-259310</t>
  </si>
  <si>
    <t>armmo4037</t>
  </si>
  <si>
    <t>Chaudhari</t>
  </si>
  <si>
    <t>desaianahi@gmail.com</t>
  </si>
  <si>
    <t>85/17, Mangal Marg, Panvel-645544</t>
  </si>
  <si>
    <t>TjOCm4053</t>
  </si>
  <si>
    <t>lavanyakari@raman.net</t>
  </si>
  <si>
    <t>H.No. 503, Batta Street
Amaravati-551025</t>
  </si>
  <si>
    <t>ftKKR4767</t>
  </si>
  <si>
    <t>anayahalder@gmail.com</t>
  </si>
  <si>
    <t>H.No. 59, Dara Marg
Sagar-963994</t>
  </si>
  <si>
    <t>XQPxm4656</t>
  </si>
  <si>
    <t>rchoudhry@hotmail.com</t>
  </si>
  <si>
    <t>67/322
Dhar Ganj
Agartala-916601</t>
  </si>
  <si>
    <t>AttWC0732</t>
  </si>
  <si>
    <t>ramkiaan@bava-johal.com</t>
  </si>
  <si>
    <t>H.No. 457, Sehgal Ganj, Gurgaon 944733</t>
  </si>
  <si>
    <t>JmCIZ6651</t>
  </si>
  <si>
    <t>ramanyuvaan@hotmail.com</t>
  </si>
  <si>
    <t>06/25, Borde Nagar, Ranchi 469243</t>
  </si>
  <si>
    <t>cpGCe2156</t>
  </si>
  <si>
    <t>anvijaggi@kannan-devi.info</t>
  </si>
  <si>
    <t>16/122, Tak Zila, Varanasi-965586</t>
  </si>
  <si>
    <t>iIATT3335</t>
  </si>
  <si>
    <t>beraaniruddh@chanda.com</t>
  </si>
  <si>
    <t>15/80, Shenoy Marg, Khora -999136</t>
  </si>
  <si>
    <t>GBYQF6871</t>
  </si>
  <si>
    <t>ramaaarna@gmail.com</t>
  </si>
  <si>
    <t>213, Mani Road
Ujjain-094003</t>
  </si>
  <si>
    <t>yzgeS7480</t>
  </si>
  <si>
    <t>chadfaiyaz@gmail.com</t>
  </si>
  <si>
    <t>18/112, Vohra Ganj, Thiruvananthapuram-255987</t>
  </si>
  <si>
    <t>gbLTy6889</t>
  </si>
  <si>
    <t>vritikakakar@lad.biz</t>
  </si>
  <si>
    <t>80/446, Vora Nagar, Phagwara 140834</t>
  </si>
  <si>
    <t>AiSDq9580</t>
  </si>
  <si>
    <t>duahridaan@hotmail.com</t>
  </si>
  <si>
    <t>57/76
Dugar Street
Deoghar 766919</t>
  </si>
  <si>
    <t>HuLai1746</t>
  </si>
  <si>
    <t>sodhikanav@yahoo.com</t>
  </si>
  <si>
    <t>89
Khurana Marg
Amravati-562774</t>
  </si>
  <si>
    <t>vjvVy2423</t>
  </si>
  <si>
    <t>Acharya</t>
  </si>
  <si>
    <t>trisha20@gole.com</t>
  </si>
  <si>
    <t>H.No. 318, Grewal Road, Pune 993423</t>
  </si>
  <si>
    <t>rbZIY3141</t>
  </si>
  <si>
    <t>jlanka@batra.info</t>
  </si>
  <si>
    <t>00/962, Bumb Road
Hapur 896355</t>
  </si>
  <si>
    <t>VWFOj8823</t>
  </si>
  <si>
    <t>Dugal</t>
  </si>
  <si>
    <t>gandhiazad@dass.com</t>
  </si>
  <si>
    <t>72/04, Issac Chowk
Raebareli-608288</t>
  </si>
  <si>
    <t>JxMmg3136</t>
  </si>
  <si>
    <t>ravigatik@swaminathan.com</t>
  </si>
  <si>
    <t>H.No. 29
Halder, Nagercoil 443319</t>
  </si>
  <si>
    <t>NDbfb7296</t>
  </si>
  <si>
    <t>Bajaj</t>
  </si>
  <si>
    <t>shaeva@hotmail.com</t>
  </si>
  <si>
    <t>60/21
Mangat Path
Panchkula 376382</t>
  </si>
  <si>
    <t>JcCas3954</t>
  </si>
  <si>
    <t>karpeadvik@gmail.com</t>
  </si>
  <si>
    <t>56
Agarwal Nagar, Burhanpur-282128</t>
  </si>
  <si>
    <t>qTYnM4726</t>
  </si>
  <si>
    <t>inaaya-53@chand.com</t>
  </si>
  <si>
    <t>H.No. 84, Vyas, Gorakhpur 651242</t>
  </si>
  <si>
    <t>OHgfS8364</t>
  </si>
  <si>
    <t>ehsaanchawla@yahoo.com</t>
  </si>
  <si>
    <t>H.No. 97
Konda Street
Surendranagar Dudhrej-877759</t>
  </si>
  <si>
    <t>oXJbJ9195</t>
  </si>
  <si>
    <t>gopalaniruddh@gmail.com</t>
  </si>
  <si>
    <t>H.No. 391, Dube Path
Aizawl 236479</t>
  </si>
  <si>
    <t>TMbtO1647</t>
  </si>
  <si>
    <t>osama@yahoo.com</t>
  </si>
  <si>
    <t>H.No. 961, Suresh Nagar, Jammu-264320</t>
  </si>
  <si>
    <t>RCNmk7155</t>
  </si>
  <si>
    <t>Vora</t>
  </si>
  <si>
    <t>lagate@kumar-garde.biz</t>
  </si>
  <si>
    <t>H.No. 859, Chaudhry Chowk, Orai-794336</t>
  </si>
  <si>
    <t>zZZqV7659</t>
  </si>
  <si>
    <t>ahana-45@badami.com</t>
  </si>
  <si>
    <t>H.No. 37, Chad Chowk, Karaikudi 896539</t>
  </si>
  <si>
    <t>InmUI8053</t>
  </si>
  <si>
    <t>khannamadhup@yahoo.com</t>
  </si>
  <si>
    <t>H.No. 15, Sen Nagar
Bellary-405102</t>
  </si>
  <si>
    <t>PBrSY4674</t>
  </si>
  <si>
    <t>kimaya20@sibal.com</t>
  </si>
  <si>
    <t>H.No. 276, Khurana Nagar
Kavali 164849</t>
  </si>
  <si>
    <t>uCPxr1443</t>
  </si>
  <si>
    <t>Khalsa</t>
  </si>
  <si>
    <t>bganesh@yahoo.com</t>
  </si>
  <si>
    <t>H.No. 812
Chand
Silchar 391237</t>
  </si>
  <si>
    <t>avSGX7687</t>
  </si>
  <si>
    <t>taraluthra@hotmail.com</t>
  </si>
  <si>
    <t>48/30
Datta Ganj, Surendranagar Dudhrej 654044</t>
  </si>
  <si>
    <t>YQYyZ7883</t>
  </si>
  <si>
    <t>anaychaudhry@gmail.com</t>
  </si>
  <si>
    <t>56/052
Rao Marg
Amravati 230299</t>
  </si>
  <si>
    <t>pbCMP6540</t>
  </si>
  <si>
    <t>divijmallick@yahoo.com</t>
  </si>
  <si>
    <t>H.No. 23, Salvi Zila
Agra 820481</t>
  </si>
  <si>
    <t>MCnLZ8577</t>
  </si>
  <si>
    <t>tarinikurian@kamdar.com</t>
  </si>
  <si>
    <t>52/55, Sankar Chowk, Dehri 559030</t>
  </si>
  <si>
    <t>TWsGJ6150</t>
  </si>
  <si>
    <t>Master</t>
  </si>
  <si>
    <t>anay76@gole.com</t>
  </si>
  <si>
    <t>H.No. 88
Varughese Zila
Guna-277547</t>
  </si>
  <si>
    <t>jsVLZ2387</t>
  </si>
  <si>
    <t>Dash</t>
  </si>
  <si>
    <t>jiya67@yahoo.com</t>
  </si>
  <si>
    <t>23
Garde
Unnao 255935</t>
  </si>
  <si>
    <t>jREzx1227</t>
  </si>
  <si>
    <t>ivana34@yahoo.com</t>
  </si>
  <si>
    <t>H.No. 62
Kala Zila, Kurnool 766808</t>
  </si>
  <si>
    <t>fxvRE4317</t>
  </si>
  <si>
    <t>samipihu@badami-lala.org</t>
  </si>
  <si>
    <t>H.No. 055, Chaudhari Circle, Tiruchirappalli 532026</t>
  </si>
  <si>
    <t>aQQpI7902</t>
  </si>
  <si>
    <t>csom@jaggi-dash.com</t>
  </si>
  <si>
    <t>34/81, Din Street
Machilipatnam-474264</t>
  </si>
  <si>
    <t>YPuHf6379</t>
  </si>
  <si>
    <t>Saraf</t>
  </si>
  <si>
    <t>onkar69@sundaram.org</t>
  </si>
  <si>
    <t>H.No. 556, Dugal Marg, Thiruvananthapuram 026908</t>
  </si>
  <si>
    <t>YYjpQ8229</t>
  </si>
  <si>
    <t>aradhyasastry@soman.biz</t>
  </si>
  <si>
    <t>67/48, Kota Path
Faridabad 559657</t>
  </si>
  <si>
    <t>PBqOq1267</t>
  </si>
  <si>
    <t>Deo</t>
  </si>
  <si>
    <t>yasmin42@balasubramanian.com</t>
  </si>
  <si>
    <t>47
Verma Zila
Durgapur 351919</t>
  </si>
  <si>
    <t>fOqml8508</t>
  </si>
  <si>
    <t>irabava@iyer.net</t>
  </si>
  <si>
    <t>H.No. 052
Ramachandran Street
Dehri 574965</t>
  </si>
  <si>
    <t>ZsnuG9611</t>
  </si>
  <si>
    <t>Bains</t>
  </si>
  <si>
    <t>emiriyer@raj.com</t>
  </si>
  <si>
    <t>H.No. 473
Bains Street
Sambalpur-927431</t>
  </si>
  <si>
    <t>vGbAW6165</t>
  </si>
  <si>
    <t>amanisengupta@bhalla-aggarwal.com</t>
  </si>
  <si>
    <t>70/69
Dutta Nagar, Aurangabad 218167</t>
  </si>
  <si>
    <t>ULSuf5484</t>
  </si>
  <si>
    <t>vivaansanghvi@yahoo.com</t>
  </si>
  <si>
    <t>51/902
Doshi Nagar, Amritsar-488051</t>
  </si>
  <si>
    <t>ETXxS3305</t>
  </si>
  <si>
    <t>reddyneelofar@gmail.com</t>
  </si>
  <si>
    <t>H.No. 470
Tank Zila
Mau 833971</t>
  </si>
  <si>
    <t>gFVpS5059</t>
  </si>
  <si>
    <t>kohlikhushi@walia.com</t>
  </si>
  <si>
    <t>94/40, Gill Marg, Raichur-593570</t>
  </si>
  <si>
    <t>PUlCh8562</t>
  </si>
  <si>
    <t>ramanvedika@kamdar.org</t>
  </si>
  <si>
    <t>08/17
Bakshi Nagar
Bhavnagar 628058</t>
  </si>
  <si>
    <t>gKvBP6821</t>
  </si>
  <si>
    <t>rajagopalanivan@gmail.com</t>
  </si>
  <si>
    <t>H.No. 356
Varty Ganj
Ichalkaranji 500751</t>
  </si>
  <si>
    <t>UFqGC8217</t>
  </si>
  <si>
    <t>lramakrishnan@hotmail.com</t>
  </si>
  <si>
    <t>520, Ramesh Zila, Ghaziabad-469126</t>
  </si>
  <si>
    <t>OepWJ5303</t>
  </si>
  <si>
    <t>aarnasant@gmail.com</t>
  </si>
  <si>
    <t>48/74, Krishnan Chowk
Raipur 826993</t>
  </si>
  <si>
    <t>GBvaY3177</t>
  </si>
  <si>
    <t>lagan12@hotmail.com</t>
  </si>
  <si>
    <t>H.No. 53, Dasgupta Path, Coimbatore 750927</t>
  </si>
  <si>
    <t>NqmmK7562</t>
  </si>
  <si>
    <t>priyansh10@bandi.com</t>
  </si>
  <si>
    <t>H.No. 93
Dewan Path, Raipur-181889</t>
  </si>
  <si>
    <t>YGOeg5384</t>
  </si>
  <si>
    <t>tchander@edwin-dhar.biz</t>
  </si>
  <si>
    <t>135, Sundaram Road
Gulbarga-394071</t>
  </si>
  <si>
    <t>AdYYp4700</t>
  </si>
  <si>
    <t>aaravchada@dhingra.com</t>
  </si>
  <si>
    <t>16
Bail Circle, Junagadh-185413</t>
  </si>
  <si>
    <t>JhCPN1565</t>
  </si>
  <si>
    <t>talwarkeya@rout.com</t>
  </si>
  <si>
    <t>99/48, Dhillon Zila, Anantapuram 138569</t>
  </si>
  <si>
    <t>Ctcjd1201</t>
  </si>
  <si>
    <t>santhrishita@gmail.com</t>
  </si>
  <si>
    <t>13/67, Raman Path, Erode-491532</t>
  </si>
  <si>
    <t>IXkps3156</t>
  </si>
  <si>
    <t>boasesaksham@tiwari.com</t>
  </si>
  <si>
    <t>07
Hans Chowk
Bijapur-939876</t>
  </si>
  <si>
    <t>Sdbpn7524</t>
  </si>
  <si>
    <t>sghose@kamdar.net</t>
  </si>
  <si>
    <t>63, Majumdar
Udaipur-818289</t>
  </si>
  <si>
    <t>wDXPo0423</t>
  </si>
  <si>
    <t>nishith47@balakrishnan.info</t>
  </si>
  <si>
    <t>50
Majumdar Circle
Buxar 999635</t>
  </si>
  <si>
    <t>NXqJr5951</t>
  </si>
  <si>
    <t>gillritvik@gmail.com</t>
  </si>
  <si>
    <t>51/109, Kothari Marg, Tiruvottiyur-363659</t>
  </si>
  <si>
    <t>SFGYZ3426</t>
  </si>
  <si>
    <t>ryan75@tara.com</t>
  </si>
  <si>
    <t>59/637
Banik Ganj
Farrukhabad-310886</t>
  </si>
  <si>
    <t>pTAtJ8180</t>
  </si>
  <si>
    <t>Sehgal</t>
  </si>
  <si>
    <t>ibajaj@deep.biz</t>
  </si>
  <si>
    <t>32/149
Mangat, Hyderabad-204347</t>
  </si>
  <si>
    <t>zaeaO1004</t>
  </si>
  <si>
    <t>Bhakta</t>
  </si>
  <si>
    <t>parinaazdalia@gokhale.info</t>
  </si>
  <si>
    <t>61, Sura Circle
Begusarai-767751</t>
  </si>
  <si>
    <t>DPOZk8939</t>
  </si>
  <si>
    <t>roysara@yahoo.com</t>
  </si>
  <si>
    <t>H.No. 880
Mann Chowk
Bijapur-315758</t>
  </si>
  <si>
    <t>MmXpL0544</t>
  </si>
  <si>
    <t>baijushankar@ravi-barad.com</t>
  </si>
  <si>
    <t>42/05
Sanghvi Path
Naihati-544078</t>
  </si>
  <si>
    <t>XiRQa1007</t>
  </si>
  <si>
    <t>Apte</t>
  </si>
  <si>
    <t>wallaranbir@gmail.com</t>
  </si>
  <si>
    <t>66/71
Kadakia Circle
Darbhanga 624470</t>
  </si>
  <si>
    <t>pkuDX7703</t>
  </si>
  <si>
    <t>kismat03@hotmail.com</t>
  </si>
  <si>
    <t>817
Ratta Chowk
Bhilwara 924704</t>
  </si>
  <si>
    <t>wSyxg2314</t>
  </si>
  <si>
    <t>kiaan25@yahoo.com</t>
  </si>
  <si>
    <t>H.No. 536
Dugar Street, Bhatpara-115411</t>
  </si>
  <si>
    <t>Ycxil6930</t>
  </si>
  <si>
    <t>bhatiayuvraj@gmail.com</t>
  </si>
  <si>
    <t>H.No. 26
Loke Zila, Ozhukarai 375826</t>
  </si>
  <si>
    <t>imwJx4023</t>
  </si>
  <si>
    <t>Contractor</t>
  </si>
  <si>
    <t>azad78@gmail.com</t>
  </si>
  <si>
    <t>H.No. 44, Gola Street, Parbhani-777444</t>
  </si>
  <si>
    <t>KIGiy0606</t>
  </si>
  <si>
    <t>lanne@gmail.com</t>
  </si>
  <si>
    <t>H.No. 407, Vasa Street
Nizamabad-396016</t>
  </si>
  <si>
    <t>QYgTE2625</t>
  </si>
  <si>
    <t>Chaudhuri</t>
  </si>
  <si>
    <t>indrans78@hotmail.com</t>
  </si>
  <si>
    <t>36/179, Mane Road, Firozabad 495957</t>
  </si>
  <si>
    <t>jRrbk1832</t>
  </si>
  <si>
    <t>qganguly@yahoo.com</t>
  </si>
  <si>
    <t>863, Baral Circle
Pune 022892</t>
  </si>
  <si>
    <t>lnNnu6774</t>
  </si>
  <si>
    <t>fateh00@gupta.info</t>
  </si>
  <si>
    <t>H.No. 434, Hans Circle, Tiruvottiyur-715573</t>
  </si>
  <si>
    <t>QZKxd8730</t>
  </si>
  <si>
    <t>Rastogi</t>
  </si>
  <si>
    <t>baiju27@hotmail.com</t>
  </si>
  <si>
    <t>26/80, Ramanathan Nagar, Chittoor 208712</t>
  </si>
  <si>
    <t>neuZN6023</t>
  </si>
  <si>
    <t>Warrior</t>
  </si>
  <si>
    <t>tankishita@luthra.biz</t>
  </si>
  <si>
    <t>H.No. 750
Sunder Street
Bhilai 007886</t>
  </si>
  <si>
    <t>vcsNC5914</t>
  </si>
  <si>
    <t>dhawantiya@bhavsar.com</t>
  </si>
  <si>
    <t>H.No. 462
Kohli Zila, Bhilwara 493941</t>
  </si>
  <si>
    <t>CrNeW8585</t>
  </si>
  <si>
    <t>madhav77@gmail.com</t>
  </si>
  <si>
    <t>H.No. 93, Kale Zila
Raurkela Industrial Township 437804</t>
  </si>
  <si>
    <t>YLlBS8756</t>
  </si>
  <si>
    <t>devanshbrahmbhatt@gmail.com</t>
  </si>
  <si>
    <t>57/89, Subramaniam Path
Arrah 242566</t>
  </si>
  <si>
    <t>mrepO9030</t>
  </si>
  <si>
    <t>shancharvi@gmail.com</t>
  </si>
  <si>
    <t>H.No. 746, Thakur Zila, Mathura-700491</t>
  </si>
  <si>
    <t>fwETF8762</t>
  </si>
  <si>
    <t>darshit42@yahoo.com</t>
  </si>
  <si>
    <t>14/198, Keer Circle, Gurgaon 492122</t>
  </si>
  <si>
    <t>iQSas0713</t>
  </si>
  <si>
    <t>divansaksham@yahoo.com</t>
  </si>
  <si>
    <t>H.No. 645, Sachdeva Chowk
Pallavaram-657666</t>
  </si>
  <si>
    <t>vuleF2964</t>
  </si>
  <si>
    <t>Balasubramanian</t>
  </si>
  <si>
    <t>tgole@devi.com</t>
  </si>
  <si>
    <t>85/069, Rajan Street, Ahmednagar-400672</t>
  </si>
  <si>
    <t>ISmKp3031</t>
  </si>
  <si>
    <t>elakshi75@yahoo.com</t>
  </si>
  <si>
    <t>H.No. 29
Ben Marg
Aurangabad-369745</t>
  </si>
  <si>
    <t>wzBNB7135</t>
  </si>
  <si>
    <t>Saha</t>
  </si>
  <si>
    <t>sarafgatik@hotmail.com</t>
  </si>
  <si>
    <t>469
Ravel Road
Bidar 936842</t>
  </si>
  <si>
    <t>aiPFe9901</t>
  </si>
  <si>
    <t>Sibal</t>
  </si>
  <si>
    <t>navya19@ravel.com</t>
  </si>
  <si>
    <t>H.No. 46, Borra Street, Bareilly-566339</t>
  </si>
  <si>
    <t>rapdP5381</t>
  </si>
  <si>
    <t>badal74@amble-sidhu.org</t>
  </si>
  <si>
    <t>809, Ramanathan
Nagpur-440431</t>
  </si>
  <si>
    <t>OPoFB3277</t>
  </si>
  <si>
    <t>Garg</t>
  </si>
  <si>
    <t>dhawananahita@gmail.com</t>
  </si>
  <si>
    <t>61
Walla Path
Amaravati-929427</t>
  </si>
  <si>
    <t>ENVIN9062</t>
  </si>
  <si>
    <t>alishabhalla@rama.info</t>
  </si>
  <si>
    <t>55/71, Suresh Road, Guwahati 622065</t>
  </si>
  <si>
    <t>nkVXK6444</t>
  </si>
  <si>
    <t>samarbrar@yahoo.com</t>
  </si>
  <si>
    <t>57/10
Chopra
Panvel 300090</t>
  </si>
  <si>
    <t>AhEkJ4658</t>
  </si>
  <si>
    <t>hvarty@yahoo.com</t>
  </si>
  <si>
    <t>H.No. 63
Bhasin Path
Satara 351851</t>
  </si>
  <si>
    <t>ToCVu6003</t>
  </si>
  <si>
    <t>Chand</t>
  </si>
  <si>
    <t>settyprerak@yahoo.com</t>
  </si>
  <si>
    <t>53/72
Kibe Ganj, Haridwar 414264</t>
  </si>
  <si>
    <t>jhbNX2298</t>
  </si>
  <si>
    <t>ivanade@gmail.com</t>
  </si>
  <si>
    <t>95/390
Kaur Circle, Durg-679007</t>
  </si>
  <si>
    <t>RKOtn8360</t>
  </si>
  <si>
    <t>uthkarshgupta@hotmail.com</t>
  </si>
  <si>
    <t>572, Das Chowk
Haridwar-704723</t>
  </si>
  <si>
    <t>IdyGz4961</t>
  </si>
  <si>
    <t>Krishnamurthy</t>
  </si>
  <si>
    <t>pihusunder@sandhu.com</t>
  </si>
  <si>
    <t>13
Deshpande Road, Kishanganj-318380</t>
  </si>
  <si>
    <t>YpONJ3779</t>
  </si>
  <si>
    <t>rattiindrans@mann.com</t>
  </si>
  <si>
    <t>H.No. 336, Sane Ganj
Jalna-982127</t>
  </si>
  <si>
    <t>MbpgQ1295</t>
  </si>
  <si>
    <t>Kari</t>
  </si>
  <si>
    <t>lakshit24@yahoo.com</t>
  </si>
  <si>
    <t>871
Bansal Path
Anantapuram-469117</t>
  </si>
  <si>
    <t>pQUUH4009</t>
  </si>
  <si>
    <t>kismat32@sarkar-barad.net</t>
  </si>
  <si>
    <t>52/762, Borah Path
Ujjain-311679</t>
  </si>
  <si>
    <t>hhZBD1678</t>
  </si>
  <si>
    <t>tanya26@yahoo.com</t>
  </si>
  <si>
    <t>209, Doctor
Karawal Nagar-304053</t>
  </si>
  <si>
    <t>GukJs5084</t>
  </si>
  <si>
    <t>sachdevalisha@deshpande-sahni.com</t>
  </si>
  <si>
    <t>35/50
Kothari Zila
Mango 797328</t>
  </si>
  <si>
    <t>qbBmy1213</t>
  </si>
  <si>
    <t>tray@varty-khanna.com</t>
  </si>
  <si>
    <t>H.No. 648
Tak Path
Tezpur 886312</t>
  </si>
  <si>
    <t>dhgWr8819</t>
  </si>
  <si>
    <t>bavaanya@gmail.com</t>
  </si>
  <si>
    <t>64, Barad Path
Kirari Suleman Nagar-223804</t>
  </si>
  <si>
    <t>wOLPS3209</t>
  </si>
  <si>
    <t>mishtiseshadri@sarma-keer.com</t>
  </si>
  <si>
    <t>H.No. 939
Iyer Circle
Thiruvananthapuram-648442</t>
  </si>
  <si>
    <t>AQDzk9188</t>
  </si>
  <si>
    <t>nirvaandeshmukh@gmail.com</t>
  </si>
  <si>
    <t>21/563
Wadhwa Road
Belgaum 362886</t>
  </si>
  <si>
    <t>rsjfe5143</t>
  </si>
  <si>
    <t>mishtisodhi@yahoo.com</t>
  </si>
  <si>
    <t>15/12, Bhakta, Vellore-792464</t>
  </si>
  <si>
    <t>FxWPK3998</t>
  </si>
  <si>
    <t>kwagle@gmail.com</t>
  </si>
  <si>
    <t>H.No. 78, De Street
Thiruvananthapuram-081246</t>
  </si>
  <si>
    <t>AVVLy4606</t>
  </si>
  <si>
    <t>hansshayak@gmail.com</t>
  </si>
  <si>
    <t>H.No. 71, Mannan Path, Kota-250231</t>
  </si>
  <si>
    <t>Oihld8683</t>
  </si>
  <si>
    <t>Hayre</t>
  </si>
  <si>
    <t>ishaan00@hotmail.com</t>
  </si>
  <si>
    <t>H.No. 442
Hayre Road
Fatehpur 723861</t>
  </si>
  <si>
    <t>WFSWM5763</t>
  </si>
  <si>
    <t>bkalla@yahoo.com</t>
  </si>
  <si>
    <t>H.No. 593, Deshpande, Ratlam 439035</t>
  </si>
  <si>
    <t>wtRDz0963</t>
  </si>
  <si>
    <t>neysa41@hotmail.com</t>
  </si>
  <si>
    <t>H.No. 59, Balasubramanian Road
Medininagar 565352</t>
  </si>
  <si>
    <t>qJZVZ5737</t>
  </si>
  <si>
    <t>sahniayesha@som-chad.com</t>
  </si>
  <si>
    <t>49/65, Cheema Street, Mehsana-999020</t>
  </si>
  <si>
    <t>isjAK1591</t>
  </si>
  <si>
    <t>Dutta</t>
  </si>
  <si>
    <t>zeeshan14@sengupta.com</t>
  </si>
  <si>
    <t>H.No. 852
Issac Nagar
Kurnool 611897</t>
  </si>
  <si>
    <t>sgTNe3380</t>
  </si>
  <si>
    <t>aainasachdeva@yahoo.com</t>
  </si>
  <si>
    <t>09/313, Malhotra Chowk
Kozhikode 093676</t>
  </si>
  <si>
    <t>NdnqG5545</t>
  </si>
  <si>
    <t>lagan30@hotmail.com</t>
  </si>
  <si>
    <t>33/135, Dugal Zila
Naihati-702640</t>
  </si>
  <si>
    <t>BkgAs4487</t>
  </si>
  <si>
    <t>anvi25@gmail.com</t>
  </si>
  <si>
    <t>589, Karan Ganj
Gorakhpur 582848</t>
  </si>
  <si>
    <t>VTSLr5991</t>
  </si>
  <si>
    <t>goyaljayan@yahoo.com</t>
  </si>
  <si>
    <t>85
Datta Path
Bangalore-897795</t>
  </si>
  <si>
    <t>GSbdZ2502</t>
  </si>
  <si>
    <t>choudhrynitara@yahoo.com</t>
  </si>
  <si>
    <t>92/16
Gill Road
North Dumdum 754283</t>
  </si>
  <si>
    <t>wwVDh6881</t>
  </si>
  <si>
    <t>vidurdass@yahoo.com</t>
  </si>
  <si>
    <t>55/16
Venkatesh Zila
Muzaffarnagar 956322</t>
  </si>
  <si>
    <t>PTBKC9212</t>
  </si>
  <si>
    <t>Walla</t>
  </si>
  <si>
    <t>dharmajanmangal@yahoo.com</t>
  </si>
  <si>
    <t>H.No. 27, De Nagar
Pali-259164</t>
  </si>
  <si>
    <t>gWMfK1763</t>
  </si>
  <si>
    <t>abramjhaveri@ghosh.info</t>
  </si>
  <si>
    <t>75
Rao Marg
Rourkela-104003</t>
  </si>
  <si>
    <t>iRUoY4635</t>
  </si>
  <si>
    <t>qboase@gmail.com</t>
  </si>
  <si>
    <t>11/128, Kaul Zila, Madanapalle 366663</t>
  </si>
  <si>
    <t>vammR5984</t>
  </si>
  <si>
    <t>indranssavant@shankar-garg.com</t>
  </si>
  <si>
    <t>71
Raval, Nashik-056878</t>
  </si>
  <si>
    <t>wkZUM8918</t>
  </si>
  <si>
    <t>kashvi13@yahoo.com</t>
  </si>
  <si>
    <t>H.No. 76
Biswas Path
Guntur 195490</t>
  </si>
  <si>
    <t>eUpII7766</t>
  </si>
  <si>
    <t>lakshaymanda@sachdev.com</t>
  </si>
  <si>
    <t>H.No. 194
Bose Zila
Ludhiana-618536</t>
  </si>
  <si>
    <t>gekaW3388</t>
  </si>
  <si>
    <t>Ranganathan</t>
  </si>
  <si>
    <t>uthkarshgolla@yahoo.com</t>
  </si>
  <si>
    <t>19, Ghose Nagar, Anantapur-439677</t>
  </si>
  <si>
    <t>VvrBJ4909</t>
  </si>
  <si>
    <t>divitbir@hotmail.com</t>
  </si>
  <si>
    <t>25
Kota Road
Patna-804014</t>
  </si>
  <si>
    <t>HGuqz0073</t>
  </si>
  <si>
    <t>cheemaemir@hotmail.com</t>
  </si>
  <si>
    <t>18
Bora Ganj, Kollam 542842</t>
  </si>
  <si>
    <t>QKsel0942</t>
  </si>
  <si>
    <t>Mandal</t>
  </si>
  <si>
    <t>bvarkey@gmail.com</t>
  </si>
  <si>
    <t>89/513, Anand Road, Phusro-838744</t>
  </si>
  <si>
    <t>lyWyp3970</t>
  </si>
  <si>
    <t>Chacko</t>
  </si>
  <si>
    <t>talwaranaya@johal.info</t>
  </si>
  <si>
    <t>71
Bir, Visakhapatnam-028757</t>
  </si>
  <si>
    <t>HEhMP0677</t>
  </si>
  <si>
    <t>Deol</t>
  </si>
  <si>
    <t>sdayal@yahoo.com</t>
  </si>
  <si>
    <t>H.No. 37
Singhal Path
Raichur 448825</t>
  </si>
  <si>
    <t>pYoIw1567</t>
  </si>
  <si>
    <t>darshitvasa@choudhury.com</t>
  </si>
  <si>
    <t>58, Bal Marg
Dewas 633389</t>
  </si>
  <si>
    <t>UEHOi5155</t>
  </si>
  <si>
    <t>Char</t>
  </si>
  <si>
    <t>saanvisankaran@hotmail.com</t>
  </si>
  <si>
    <t>47/623
Arora Chowk, Miryalaguda-478726</t>
  </si>
  <si>
    <t>GWSaW1232</t>
  </si>
  <si>
    <t>heer83@de.com</t>
  </si>
  <si>
    <t>30
Zachariah Ganj
Dibrugarh-673549</t>
  </si>
  <si>
    <t>fmjXV8962</t>
  </si>
  <si>
    <t>rbakshi@hotmail.com</t>
  </si>
  <si>
    <t>H.No. 925, Kanda Circle
Saharsa-673631</t>
  </si>
  <si>
    <t>XapnS2628</t>
  </si>
  <si>
    <t>contractordivit@saxena.com</t>
  </si>
  <si>
    <t>662
Lala Street, Mirzapur-414085</t>
  </si>
  <si>
    <t>fcyUX8486</t>
  </si>
  <si>
    <t>Shenoy</t>
  </si>
  <si>
    <t>krish89@gmail.com</t>
  </si>
  <si>
    <t>H.No. 41, Joshi Nagar, Pallavaram-573216</t>
  </si>
  <si>
    <t>eZePa4407</t>
  </si>
  <si>
    <t>qbatta@hotmail.com</t>
  </si>
  <si>
    <t>317, Datta Zila, Ramgarh 541298</t>
  </si>
  <si>
    <t>LRwih5208</t>
  </si>
  <si>
    <t>oshan@bir.org</t>
  </si>
  <si>
    <t>43/03, Goswami Street
Gulbarga 496238</t>
  </si>
  <si>
    <t>rjUJW3999</t>
  </si>
  <si>
    <t>kiarasachar@kurian.com</t>
  </si>
  <si>
    <t>H.No. 87, Ganesh Zila, Satna 823772</t>
  </si>
  <si>
    <t>EhFqT3911</t>
  </si>
  <si>
    <t>xdin@ram-gulati.biz</t>
  </si>
  <si>
    <t>23, Gulati Marg, Jalna-412081</t>
  </si>
  <si>
    <t>atnLp2894</t>
  </si>
  <si>
    <t>Gopal</t>
  </si>
  <si>
    <t>jhanvi03@hotmail.com</t>
  </si>
  <si>
    <t>678
Karpe Zila
Jalgaon 813537</t>
  </si>
  <si>
    <t>xiVSz9539</t>
  </si>
  <si>
    <t>miraya97@doshi.com</t>
  </si>
  <si>
    <t>77/049, Bahri, Berhampore-945659</t>
  </si>
  <si>
    <t>IULgd5736</t>
  </si>
  <si>
    <t>yadavpiya@sahota.info</t>
  </si>
  <si>
    <t>69/916, Kulkarni Path, Bokaro-634110</t>
  </si>
  <si>
    <t>eJjXL5728</t>
  </si>
  <si>
    <t>rayeva@yahoo.com</t>
  </si>
  <si>
    <t>85/537
Balasubramanian Ganj
Kakinada 631855</t>
  </si>
  <si>
    <t>aadVU8144</t>
  </si>
  <si>
    <t>lbuch@yahoo.com</t>
  </si>
  <si>
    <t>88/542, Chauhan Chowk
Rampur-992519</t>
  </si>
  <si>
    <t>dSumL8371</t>
  </si>
  <si>
    <t>khannariaan@sarma.com</t>
  </si>
  <si>
    <t>H.No. 60, Din Nagar
Kollam 667752</t>
  </si>
  <si>
    <t>AYWsl6350</t>
  </si>
  <si>
    <t>ivanvala@yahoo.com</t>
  </si>
  <si>
    <t>54/316, Mani Ganj
Imphal 647256</t>
  </si>
  <si>
    <t>TYSwc0615</t>
  </si>
  <si>
    <t>chanda@jain-edwin.com</t>
  </si>
  <si>
    <t>242
Saraf Zila
Buxar 353286</t>
  </si>
  <si>
    <t>hoyXZ5732</t>
  </si>
  <si>
    <t>kannanaayush@ghosh.info</t>
  </si>
  <si>
    <t>950
Iyengar Circle
Shimoga 123599</t>
  </si>
  <si>
    <t>cyPlv3560</t>
  </si>
  <si>
    <t>madhav12@yahoo.com</t>
  </si>
  <si>
    <t>H.No. 58
Sami Nagar
Kumbakonam-213461</t>
  </si>
  <si>
    <t>cVRGg2247</t>
  </si>
  <si>
    <t>Bera</t>
  </si>
  <si>
    <t>aliasodhi@yahoo.com</t>
  </si>
  <si>
    <t>81, Shroff Chowk
Bangalore 805889</t>
  </si>
  <si>
    <t>cJVhS3405</t>
  </si>
  <si>
    <t>bavazain@johal.biz</t>
  </si>
  <si>
    <t>12/467, Soni Marg
Asansol 259836</t>
  </si>
  <si>
    <t>aLjap9126</t>
  </si>
  <si>
    <t>akarshdhar@ratta.com</t>
  </si>
  <si>
    <t>96/41, Deshmukh Marg, Thane 295322</t>
  </si>
  <si>
    <t>QKxXx2613</t>
  </si>
  <si>
    <t>tushardeshmukh@tandon.com</t>
  </si>
  <si>
    <t>88/19
Amble Street, Pudukkottai-569325</t>
  </si>
  <si>
    <t>voqhI3127</t>
  </si>
  <si>
    <t>rbaria@gmail.com</t>
  </si>
  <si>
    <t>45/02, Sahota Marg, Shimoga-353414</t>
  </si>
  <si>
    <t>BBOFV6790</t>
  </si>
  <si>
    <t>seherkaur@hotmail.com</t>
  </si>
  <si>
    <t>H.No. 187
Sawhney Chowk
Udupi-334225</t>
  </si>
  <si>
    <t>DqxCR7727</t>
  </si>
  <si>
    <t>riyagulati@lanka.org</t>
  </si>
  <si>
    <t>84/20
Kashyap Road, Dharmavaram-589477</t>
  </si>
  <si>
    <t>AfATQ0254</t>
  </si>
  <si>
    <t>Roy</t>
  </si>
  <si>
    <t>fshenoy@virk.com</t>
  </si>
  <si>
    <t>21/18
Shere Path, Malegaon 501947</t>
  </si>
  <si>
    <t>NFRDK6549</t>
  </si>
  <si>
    <t>asama@balakrishnan.com</t>
  </si>
  <si>
    <t>59
Bhagat Path
Ballia 967108</t>
  </si>
  <si>
    <t>BwTQi7496</t>
  </si>
  <si>
    <t>Dixit</t>
  </si>
  <si>
    <t>neysachopra@chauhan-sibal.com</t>
  </si>
  <si>
    <t>75, Sangha Chowk, Mehsana 342658</t>
  </si>
  <si>
    <t>EeORO1407</t>
  </si>
  <si>
    <t>anika21@yahoo.com</t>
  </si>
  <si>
    <t>H.No. 35, Kakar Marg
Dhanbad 253695</t>
  </si>
  <si>
    <t>QFlHS7810</t>
  </si>
  <si>
    <t>psampath@solanki.biz</t>
  </si>
  <si>
    <t>H.No. 64
Choudhury Road
Ballia-195663</t>
  </si>
  <si>
    <t>GDVZT6407</t>
  </si>
  <si>
    <t>kratti@dutt.net</t>
  </si>
  <si>
    <t>70
Gole Path, Hazaribagh-712996</t>
  </si>
  <si>
    <t>XSgni2933</t>
  </si>
  <si>
    <t>golecharvi@yahoo.com</t>
  </si>
  <si>
    <t>91/842, Balay Path
Haridwar 765589</t>
  </si>
  <si>
    <t>YQjXj0630</t>
  </si>
  <si>
    <t>samaira35@sachar.info</t>
  </si>
  <si>
    <t>47/46
Sandhu Road
Pondicherry-728310</t>
  </si>
  <si>
    <t>VRvIh6450</t>
  </si>
  <si>
    <t>fkalla@hotmail.com</t>
  </si>
  <si>
    <t>86/63
Srivastava Marg
Munger-333477</t>
  </si>
  <si>
    <t>ewaln2819</t>
  </si>
  <si>
    <t>myra04@bhattacharyya-sheth.biz</t>
  </si>
  <si>
    <t>96/291
Goel Road
Hospet 660985</t>
  </si>
  <si>
    <t>CPHHw6539</t>
  </si>
  <si>
    <t>prerak96@gmail.com</t>
  </si>
  <si>
    <t>52/57, Khare Road, Karawal Nagar-372123</t>
  </si>
  <si>
    <t>vxFLQ8987</t>
  </si>
  <si>
    <t>kandamanikya@yahoo.com</t>
  </si>
  <si>
    <t>H.No. 05
Bandi, Bally 246271</t>
  </si>
  <si>
    <t>EuLQI5359</t>
  </si>
  <si>
    <t>pkrishnan@hotmail.com</t>
  </si>
  <si>
    <t>763
Raja Nagar
Sirsa-983666</t>
  </si>
  <si>
    <t>CTiMz4450</t>
  </si>
  <si>
    <t>kkuruvilla@dhillon-hans.com</t>
  </si>
  <si>
    <t>41/56
Bhasin Chowk
Berhampore 539872</t>
  </si>
  <si>
    <t>TuWmS4075</t>
  </si>
  <si>
    <t>sodhiamani@hotmail.com</t>
  </si>
  <si>
    <t>H.No. 306
Johal
South Dumdum 281568</t>
  </si>
  <si>
    <t>sUKkt9821</t>
  </si>
  <si>
    <t>janijhanvi@sanghvi-krishna.com</t>
  </si>
  <si>
    <t>72, Loyal Ganj, Khandwa-606775</t>
  </si>
  <si>
    <t>asclv7725</t>
  </si>
  <si>
    <t>lakshitgarg@yahoo.com</t>
  </si>
  <si>
    <t>20
Anne Circle, Tumkur 041507</t>
  </si>
  <si>
    <t>OyBfo1155</t>
  </si>
  <si>
    <t>hanshrattan@apte-jain.org</t>
  </si>
  <si>
    <t>H.No. 94
Dara
Junagadh 803638</t>
  </si>
  <si>
    <t>Uopwe1708</t>
  </si>
  <si>
    <t>taimur39@mahal.net</t>
  </si>
  <si>
    <t>25/140
Guha, Bahraich-998731</t>
  </si>
  <si>
    <t>syMgR3038</t>
  </si>
  <si>
    <t>faiyazbrahmbhatt@yahoo.com</t>
  </si>
  <si>
    <t>H.No. 276
Krishna
Tenali-295794</t>
  </si>
  <si>
    <t>fWvXF1733</t>
  </si>
  <si>
    <t>tiya15@gmail.com</t>
  </si>
  <si>
    <t>H.No. 58
Ram Street, Kavali-541913</t>
  </si>
  <si>
    <t>CpMzu9383</t>
  </si>
  <si>
    <t>adirasaran@chandran.com</t>
  </si>
  <si>
    <t>H.No. 55, Bassi Marg, Asansol 213841</t>
  </si>
  <si>
    <t>zIGOd7505</t>
  </si>
  <si>
    <t>arhaan29@konda.com</t>
  </si>
  <si>
    <t>72, Dasgupta Chowk
Bhatpara-277674</t>
  </si>
  <si>
    <t>RjKsr7749</t>
  </si>
  <si>
    <t>manikya66@roy-krishna.com</t>
  </si>
  <si>
    <t>161, Vohra Ganj
Karawal Nagar-905340</t>
  </si>
  <si>
    <t>rIakp0166</t>
  </si>
  <si>
    <t>urvi39@yahoo.com</t>
  </si>
  <si>
    <t>34
Vasa Zila
Adoni 066086</t>
  </si>
  <si>
    <t>JOMij2247</t>
  </si>
  <si>
    <t>baradsamarth@yahoo.com</t>
  </si>
  <si>
    <t>29, Balay Circle, Phusro-526866</t>
  </si>
  <si>
    <t>oEmdH1407</t>
  </si>
  <si>
    <t>zchakrabarti@gmail.com</t>
  </si>
  <si>
    <t>24/748, Warrior Path, Nagaon-132738</t>
  </si>
  <si>
    <t>hsLQR2540</t>
  </si>
  <si>
    <t>dmahajan@gmail.com</t>
  </si>
  <si>
    <t>46/366, Tiwari, Morena-550458</t>
  </si>
  <si>
    <t>CYjgO9031</t>
  </si>
  <si>
    <t>advik10@gmail.com</t>
  </si>
  <si>
    <t>H.No. 193
Gade Ganj, Chennai 226093</t>
  </si>
  <si>
    <t>jmgae1408</t>
  </si>
  <si>
    <t>malhotradevansh@hotmail.com</t>
  </si>
  <si>
    <t>H.No. 67, Ray Ganj
Sangli-Miraj &amp; Kupwad 359517</t>
  </si>
  <si>
    <t>dzAuV8671</t>
  </si>
  <si>
    <t>anaya17@char-borra.com</t>
  </si>
  <si>
    <t>52/615
Kata Circle, Rewa-171511</t>
  </si>
  <si>
    <t>eRnCe4673</t>
  </si>
  <si>
    <t>anika03@aggarwal-warrior.com</t>
  </si>
  <si>
    <t>17
Hari Nagar
Tiruppur 112738</t>
  </si>
  <si>
    <t>qabeK9656</t>
  </si>
  <si>
    <t>rvirk@deshmukh.com</t>
  </si>
  <si>
    <t>H.No. 475, Sahni Road, Junagadh 482230</t>
  </si>
  <si>
    <t>gOSvN3895</t>
  </si>
  <si>
    <t>divyanshkalita@mannan-sule.com</t>
  </si>
  <si>
    <t>H.No. 541
Sant Zila
Fatehpur 346310</t>
  </si>
  <si>
    <t>ZXHoa6018</t>
  </si>
  <si>
    <t>bdash@hotmail.com</t>
  </si>
  <si>
    <t>H.No. 685, Toor Street, New Delhi-750409</t>
  </si>
  <si>
    <t>VNwkK9740</t>
  </si>
  <si>
    <t>jsethi@yahoo.com</t>
  </si>
  <si>
    <t>39, Ravi, Tumkur-611954</t>
  </si>
  <si>
    <t>WhjQh6831</t>
  </si>
  <si>
    <t>wbiswas@gmail.com</t>
  </si>
  <si>
    <t>16
Sankaran Street
Bhiwandi-134277</t>
  </si>
  <si>
    <t>qlcCM4209</t>
  </si>
  <si>
    <t>jiya25@virk.com</t>
  </si>
  <si>
    <t>87/799
Hora Ganj, South Dumdum 379572</t>
  </si>
  <si>
    <t>pPndg5111</t>
  </si>
  <si>
    <t>hirantata@bhatnagar.com</t>
  </si>
  <si>
    <t>857
Sodhi Nagar
Dhule 370858</t>
  </si>
  <si>
    <t>PdHaN8226</t>
  </si>
  <si>
    <t>chaudharyahana@dewan.com</t>
  </si>
  <si>
    <t>370, Mani Road
Tenali 455407</t>
  </si>
  <si>
    <t>QhXGb3481</t>
  </si>
  <si>
    <t>drishya75@kata.com</t>
  </si>
  <si>
    <t>H.No. 533
Kapoor Nagar, Eluru-670633</t>
  </si>
  <si>
    <t>FnUhm3093</t>
  </si>
  <si>
    <t>Sani</t>
  </si>
  <si>
    <t>zbava@mannan.com</t>
  </si>
  <si>
    <t>H.No. 82
Khare Nagar
Jalandhar 247424</t>
  </si>
  <si>
    <t>bvToy5299</t>
  </si>
  <si>
    <t>Kannan</t>
  </si>
  <si>
    <t>sakshamsarin@dyal.com</t>
  </si>
  <si>
    <t>H.No. 56
Sarraf Path, Siwan-744205</t>
  </si>
  <si>
    <t>UzPFZ9201</t>
  </si>
  <si>
    <t>erau@mangal.com</t>
  </si>
  <si>
    <t>H.No. 48
Agate Road, Ahmedabad 400464</t>
  </si>
  <si>
    <t>bsJLM5256</t>
  </si>
  <si>
    <t>seher11@hotmail.com</t>
  </si>
  <si>
    <t>16/525, Mallick Nagar
Arrah 904315</t>
  </si>
  <si>
    <t>SoXkS6310</t>
  </si>
  <si>
    <t>ranbir69@yahoo.com</t>
  </si>
  <si>
    <t>89/244
Salvi Zila, Udaipur 137244</t>
  </si>
  <si>
    <t>aKQty8940</t>
  </si>
  <si>
    <t>psheth@issac-sama.info</t>
  </si>
  <si>
    <t>73/78
Dyal Nagar, Panipat-519187</t>
  </si>
  <si>
    <t>SNfLh6660</t>
  </si>
  <si>
    <t>lankayashvi@yahoo.com</t>
  </si>
  <si>
    <t>H.No. 91
Ratti Nagar, Junagadh-967044</t>
  </si>
  <si>
    <t>xxsqN2501</t>
  </si>
  <si>
    <t>siya84@yahoo.com</t>
  </si>
  <si>
    <t>76/633
Sant Path, Udaipur 509530</t>
  </si>
  <si>
    <t>dTJLr5887</t>
  </si>
  <si>
    <t>prerak82@hotmail.com</t>
  </si>
  <si>
    <t>50/079, Suresh Marg, Bhiwani 377784</t>
  </si>
  <si>
    <t>vbREZ6369</t>
  </si>
  <si>
    <t>gratta@chawla.info</t>
  </si>
  <si>
    <t>13/34, Andra
Dhule 432692</t>
  </si>
  <si>
    <t>PSlKt9911</t>
  </si>
  <si>
    <t>kiara51@gmail.com</t>
  </si>
  <si>
    <t>390, Ramachandran Path
Bhiwani-942394</t>
  </si>
  <si>
    <t>ptOJO6377</t>
  </si>
  <si>
    <t>wbuch@trivedi.com</t>
  </si>
  <si>
    <t>79, Bora
Farrukhabad-726877</t>
  </si>
  <si>
    <t>FEqFY6728</t>
  </si>
  <si>
    <t>siyadhaliwal@gmail.com</t>
  </si>
  <si>
    <t>180
Andra Street, Jaipur 107191</t>
  </si>
  <si>
    <t>NzoZw7814</t>
  </si>
  <si>
    <t>okant@gmail.com</t>
  </si>
  <si>
    <t>H.No. 017
Mander Road
Tiruchirappalli-560730</t>
  </si>
  <si>
    <t>KkAke1014</t>
  </si>
  <si>
    <t>djaggi@gmail.com</t>
  </si>
  <si>
    <t>H.No. 35, Sen Circle, Bally 118004</t>
  </si>
  <si>
    <t>zMXmZ6027</t>
  </si>
  <si>
    <t>anaya50@chad-chakraborty.com</t>
  </si>
  <si>
    <t>H.No. 694
Johal Circle, Pallavaram-418277</t>
  </si>
  <si>
    <t>QYvwF0197</t>
  </si>
  <si>
    <t>mishade@gmail.com</t>
  </si>
  <si>
    <t>08/805
Bali Nagar, Amravati-786268</t>
  </si>
  <si>
    <t>aCyQI8142</t>
  </si>
  <si>
    <t>kimayashere@srivastava.biz</t>
  </si>
  <si>
    <t>H.No. 41, Srinivasan Chowk
North Dumdum 076017</t>
  </si>
  <si>
    <t>DBgHO8455</t>
  </si>
  <si>
    <t>dayallagan@gmail.com</t>
  </si>
  <si>
    <t>H.No. 27, Sharma Street
Shivpuri-367408</t>
  </si>
  <si>
    <t>bflQX6988</t>
  </si>
  <si>
    <t>ayesha01@vohra-sachar.com</t>
  </si>
  <si>
    <t>37/035
Ranganathan Path
Aligarh 167616</t>
  </si>
  <si>
    <t>GFmjZ2536</t>
  </si>
  <si>
    <t>ntank@hotmail.com</t>
  </si>
  <si>
    <t>34/10, Reddy Nagar, Junagadh-584843</t>
  </si>
  <si>
    <t>cyrKR0897</t>
  </si>
  <si>
    <t>iamble@yahoo.com</t>
  </si>
  <si>
    <t>64, Bhandari Path
Kolkata 501985</t>
  </si>
  <si>
    <t>ykGkG2740</t>
  </si>
  <si>
    <t>tushar01@gala.com</t>
  </si>
  <si>
    <t>H.No. 788, Samra Chowk, Ahmedabad-139184</t>
  </si>
  <si>
    <t>VxevB7404</t>
  </si>
  <si>
    <t>gchowdhury@yahoo.com</t>
  </si>
  <si>
    <t>25/23, Bajwa
Faridabad-636071</t>
  </si>
  <si>
    <t>KoByL2581</t>
  </si>
  <si>
    <t>Virk</t>
  </si>
  <si>
    <t>wmajumdar@gmail.com</t>
  </si>
  <si>
    <t>95/14, Sarna Marg, Moradabad 989763</t>
  </si>
  <si>
    <t>QKyaX8831</t>
  </si>
  <si>
    <t>tkurian@yahoo.com</t>
  </si>
  <si>
    <t>26/027
Khare Path
Purnia 680537</t>
  </si>
  <si>
    <t>ZLIks7019</t>
  </si>
  <si>
    <t>yuvaankarpe@hotmail.com</t>
  </si>
  <si>
    <t>89, Ahluwalia Marg
Burhanpur-881279</t>
  </si>
  <si>
    <t>RCMik0681</t>
  </si>
  <si>
    <t>prerakmammen@agate.com</t>
  </si>
  <si>
    <t>78/90
Yadav Road, Nellore 658672</t>
  </si>
  <si>
    <t>OMKEO6405</t>
  </si>
  <si>
    <t>ibera@shah-vora.net</t>
  </si>
  <si>
    <t>H.No. 15, Kohli Path, Noida-314217</t>
  </si>
  <si>
    <t>kCoUZ3178</t>
  </si>
  <si>
    <t>adate@gmail.com</t>
  </si>
  <si>
    <t>46
Boase Marg, Ghaziabad 856525</t>
  </si>
  <si>
    <t>dDkiT9299</t>
  </si>
  <si>
    <t>ivanajani@hotmail.com</t>
  </si>
  <si>
    <t>23/89, Hayer Circle
Bhatpara-468629</t>
  </si>
  <si>
    <t>mFPfT8084</t>
  </si>
  <si>
    <t>Thaman</t>
  </si>
  <si>
    <t>aaryahijhaveri@varma-hayer.com</t>
  </si>
  <si>
    <t>H.No. 90, Varty, Chennai-916659</t>
  </si>
  <si>
    <t>UtWPS4627</t>
  </si>
  <si>
    <t>indranilbhagat@yahoo.com</t>
  </si>
  <si>
    <t>91
Shere Nagar, Allahabad-117134</t>
  </si>
  <si>
    <t>KPtWQ6434</t>
  </si>
  <si>
    <t>brardiya@yahoo.com</t>
  </si>
  <si>
    <t>88/755, Reddy, Ratlam 041552</t>
  </si>
  <si>
    <t>TrsPX2977</t>
  </si>
  <si>
    <t>ikaran@yahoo.com</t>
  </si>
  <si>
    <t>72/83
Behl Road, Alappuzha-100997</t>
  </si>
  <si>
    <t>hiGiB1642</t>
  </si>
  <si>
    <t>gollatiya@hotmail.com</t>
  </si>
  <si>
    <t>H.No. 56, Bhardwaj Path, Rajahmundry 344070</t>
  </si>
  <si>
    <t>VYPru3578</t>
  </si>
  <si>
    <t>Anne</t>
  </si>
  <si>
    <t>divitsahni@hotmail.com</t>
  </si>
  <si>
    <t>H.No. 47
Krishnan Circle
Madhyamgram 070507</t>
  </si>
  <si>
    <t>iBvCj6243</t>
  </si>
  <si>
    <t>vsaini@gmail.com</t>
  </si>
  <si>
    <t>691
Doctor Circle
Bally-198385</t>
  </si>
  <si>
    <t>MUKuk6515</t>
  </si>
  <si>
    <t>sundaramnitya@rege.info</t>
  </si>
  <si>
    <t>H.No. 961
Gupta Chowk, Dhanbad 100027</t>
  </si>
  <si>
    <t>oGPdP5125</t>
  </si>
  <si>
    <t>rheavirk@yahoo.com</t>
  </si>
  <si>
    <t>268
Khanna, Jammu 152438</t>
  </si>
  <si>
    <t>ZYZhL4494</t>
  </si>
  <si>
    <t>qkapoor@uppal.info</t>
  </si>
  <si>
    <t>50/70
Sandal Path
Hosur-511031</t>
  </si>
  <si>
    <t>eNAZz4566</t>
  </si>
  <si>
    <t>xsachdeva@karan-gulati.com</t>
  </si>
  <si>
    <t>65
Wadhwa Chowk, Kolhapur-741050</t>
  </si>
  <si>
    <t>tSFOb4621</t>
  </si>
  <si>
    <t>hsavant@ravi.com</t>
  </si>
  <si>
    <t>61/50, Bhalla Chowk
Bhiwani-169036</t>
  </si>
  <si>
    <t>RmgMK7796</t>
  </si>
  <si>
    <t>lavanyavenkataraman@choudhary.info</t>
  </si>
  <si>
    <t>98
Krishnan Circle, Bardhaman 759686</t>
  </si>
  <si>
    <t>qFvLw9715</t>
  </si>
  <si>
    <t>Bhardwaj</t>
  </si>
  <si>
    <t>advik82@chand.biz</t>
  </si>
  <si>
    <t>37/165, Mander Nagar, Rourkela 159637</t>
  </si>
  <si>
    <t>brCMd3690</t>
  </si>
  <si>
    <t>indrans78@wali.com</t>
  </si>
  <si>
    <t>90/09
Uppal Circle
Dhanbad-814416</t>
  </si>
  <si>
    <t>JbvVH0670</t>
  </si>
  <si>
    <t>badalmehul@gmail.com</t>
  </si>
  <si>
    <t>H.No. 18, Batra Marg
Sri Ganganagar-224947</t>
  </si>
  <si>
    <t>cfaiZ5199</t>
  </si>
  <si>
    <t>aarnakulkarni@gmail.com</t>
  </si>
  <si>
    <t>54/344
Subramaniam Circle
Mysore-801155</t>
  </si>
  <si>
    <t>nExaG5532</t>
  </si>
  <si>
    <t>rasha21@chaudry.info</t>
  </si>
  <si>
    <t>28
Korpal Nagar, Rajahmundry-006455</t>
  </si>
  <si>
    <t>xVwHC2862</t>
  </si>
  <si>
    <t>sumer82@bir.com</t>
  </si>
  <si>
    <t>50
Basak Zila
Davanagere 703414</t>
  </si>
  <si>
    <t>IEaHb3799</t>
  </si>
  <si>
    <t>alisha53@hotmail.com</t>
  </si>
  <si>
    <t>H.No. 45
Buch Zila, Yamunanagar-220834</t>
  </si>
  <si>
    <t>RycUB0718</t>
  </si>
  <si>
    <t>Rajagopalan</t>
  </si>
  <si>
    <t>devanshhalder@manne.biz</t>
  </si>
  <si>
    <t>27/857
Sheth Zila
Sambalpur 305695</t>
  </si>
  <si>
    <t>HINLR3528</t>
  </si>
  <si>
    <t>kimaya23@iyengar.biz</t>
  </si>
  <si>
    <t>84/44
Suresh Ganj
Guntur 326776</t>
  </si>
  <si>
    <t>XLEKF8430</t>
  </si>
  <si>
    <t>mchacko@gmail.com</t>
  </si>
  <si>
    <t>H.No. 265, Saraf
Tirupati-030231</t>
  </si>
  <si>
    <t>IJffI2758</t>
  </si>
  <si>
    <t>jbasu@behl.com</t>
  </si>
  <si>
    <t>H.No. 017, Sahni
North Dumdum-362238</t>
  </si>
  <si>
    <t>WryNy9401</t>
  </si>
  <si>
    <t>kallasara@sant.com</t>
  </si>
  <si>
    <t>501, Savant Marg
Bidar-510494</t>
  </si>
  <si>
    <t>zCmdL3209</t>
  </si>
  <si>
    <t>choudhryyashvi@chowdhury-sahota.net</t>
  </si>
  <si>
    <t>H.No. 33
Bedi, Dibrugarh 008416</t>
  </si>
  <si>
    <t>aYboK1465</t>
  </si>
  <si>
    <t>lakshitchad@batta.com</t>
  </si>
  <si>
    <t>09, Varkey Zila
Karnal 751926</t>
  </si>
  <si>
    <t>RBwBI8439</t>
  </si>
  <si>
    <t>rsrinivas@comar-dhar.info</t>
  </si>
  <si>
    <t>H.No. 442
Bhandari Chowk, Sagar-314595</t>
  </si>
  <si>
    <t>uBqiZ5473</t>
  </si>
  <si>
    <t>Sankaran</t>
  </si>
  <si>
    <t>bhavin81@yahoo.com</t>
  </si>
  <si>
    <t>02
Kadakia Ganj, Gandhidham-170602</t>
  </si>
  <si>
    <t>IbKwt7622</t>
  </si>
  <si>
    <t>kapoorkanav@chaudry.org</t>
  </si>
  <si>
    <t>H.No. 829, Sachdev Marg, Raebareli-206464</t>
  </si>
  <si>
    <t>dVReP0845</t>
  </si>
  <si>
    <t>Dasgupta</t>
  </si>
  <si>
    <t>agrawalhridaan@hotmail.com</t>
  </si>
  <si>
    <t>H.No. 438
Edwin Street, Ajmer 328659</t>
  </si>
  <si>
    <t>aBFoa9053</t>
  </si>
  <si>
    <t>Sampath</t>
  </si>
  <si>
    <t>rashasankaran@gmail.com</t>
  </si>
  <si>
    <t>H.No. 07, Mann Zila
Visakhapatnam 744540</t>
  </si>
  <si>
    <t>XSOuV8431</t>
  </si>
  <si>
    <t>ivansehgal@yahoo.com</t>
  </si>
  <si>
    <t>H.No. 37, Chandran Nagar
Aurangabad-566514</t>
  </si>
  <si>
    <t>ZSJfP9876</t>
  </si>
  <si>
    <t>ahana-dass@hotmail.com</t>
  </si>
  <si>
    <t>801
Barad Ganj
Nellore-135716</t>
  </si>
  <si>
    <t>DIEYW0734</t>
  </si>
  <si>
    <t>kiara26@yahoo.com</t>
  </si>
  <si>
    <t>00/889
Choudhury Road
Ranchi-485781</t>
  </si>
  <si>
    <t>szZTl9024</t>
  </si>
  <si>
    <t>dhanushdeep@hotmail.com</t>
  </si>
  <si>
    <t>13/72, Raja Street
Saharsa-450308</t>
  </si>
  <si>
    <t>JSAJZ9273</t>
  </si>
  <si>
    <t>Chaudry</t>
  </si>
  <si>
    <t>tejassankaran@loke.com</t>
  </si>
  <si>
    <t>71, Bal Marg
Sambalpur 178760</t>
  </si>
  <si>
    <t>vSbpL8810</t>
  </si>
  <si>
    <t>tanyabalakrishnan@hotmail.com</t>
  </si>
  <si>
    <t>81, Kala Road
Kulti-369823</t>
  </si>
  <si>
    <t>SyFJb6230</t>
  </si>
  <si>
    <t>kben@gmail.com</t>
  </si>
  <si>
    <t>487
Krishnamurthy Road
Sambhal-378861</t>
  </si>
  <si>
    <t>JKLdB5136</t>
  </si>
  <si>
    <t>zeeshan18@yahoo.com</t>
  </si>
  <si>
    <t>H.No. 77, Saxena Chowk, Loni 929458</t>
  </si>
  <si>
    <t>ycsir9239</t>
  </si>
  <si>
    <t>issactara@gmail.com</t>
  </si>
  <si>
    <t>63, Raja Street
Delhi 804374</t>
  </si>
  <si>
    <t>XgNLD1086</t>
  </si>
  <si>
    <t>xsundaram@dhillon.com</t>
  </si>
  <si>
    <t>H.No. 75
Dutta Path
Barasat 328107</t>
  </si>
  <si>
    <t>aXbVB1096</t>
  </si>
  <si>
    <t>uthkarsh97@hotmail.com</t>
  </si>
  <si>
    <t>H.No. 33, Verma Marg
Ozhukarai 554606</t>
  </si>
  <si>
    <t>TLBLz8249</t>
  </si>
  <si>
    <t>aainachoudhury@lall-kapadia.com</t>
  </si>
  <si>
    <t>619, Verma Ganj, Pudukkottai 229309</t>
  </si>
  <si>
    <t>bcElv7999</t>
  </si>
  <si>
    <t>Hari</t>
  </si>
  <si>
    <t>esarkar@sangha.com</t>
  </si>
  <si>
    <t>677, Gupta Chowk, Medininagar 932249</t>
  </si>
  <si>
    <t>bMtvq7912</t>
  </si>
  <si>
    <t>fateh36@yahoo.com</t>
  </si>
  <si>
    <t>86/89
Hayre, Kadapa-863914</t>
  </si>
  <si>
    <t>rlDdC4447</t>
  </si>
  <si>
    <t>irakhanna@yahoo.com</t>
  </si>
  <si>
    <t>H.No. 19
Ramaswamy Ganj
Nizamabad 037828</t>
  </si>
  <si>
    <t>DaUEw5877</t>
  </si>
  <si>
    <t>divijsingh@yahoo.com</t>
  </si>
  <si>
    <t>62/66, Shah Chowk, Coimbatore-338638</t>
  </si>
  <si>
    <t>qzzxZ6409</t>
  </si>
  <si>
    <t>bhattiemir@hotmail.com</t>
  </si>
  <si>
    <t>080
Sarma Zila, Bettiah-482800</t>
  </si>
  <si>
    <t>AMccf6869</t>
  </si>
  <si>
    <t>Chad</t>
  </si>
  <si>
    <t>anahikakar@hotmail.com</t>
  </si>
  <si>
    <t>27/793, Chowdhury Ganj, Ozhukarai-942018</t>
  </si>
  <si>
    <t>eaneI5064</t>
  </si>
  <si>
    <t>aaryahi12@hotmail.com</t>
  </si>
  <si>
    <t>46/72, De Marg
Faridabad 989289</t>
  </si>
  <si>
    <t>FSGfW2860</t>
  </si>
  <si>
    <t>groverrasha@hotmail.com</t>
  </si>
  <si>
    <t>H.No. 554
Sawhney Marg
Solapur-069061</t>
  </si>
  <si>
    <t>Iryto0315</t>
  </si>
  <si>
    <t>manisumer@keer.info</t>
  </si>
  <si>
    <t>H.No. 39, Vala Nagar
Mathura-329262</t>
  </si>
  <si>
    <t>UCISo7565</t>
  </si>
  <si>
    <t>cmahal@hotmail.com</t>
  </si>
  <si>
    <t>95/728, Ramakrishnan Ganj
Kadapa-018986</t>
  </si>
  <si>
    <t>ankCg2567</t>
  </si>
  <si>
    <t>qgarde@bajaj.biz</t>
  </si>
  <si>
    <t>H.No. 39
Raval Nagar
Rampur 773920</t>
  </si>
  <si>
    <t>heldW1890</t>
  </si>
  <si>
    <t>edevan@gmail.com</t>
  </si>
  <si>
    <t>93/527
Kade Path
Bhavnagar 831300</t>
  </si>
  <si>
    <t>eZVyy0074</t>
  </si>
  <si>
    <t>lakshitbhattacharyya@yahoo.com</t>
  </si>
  <si>
    <t>H.No. 71
Gupta Nagar, Singrauli-673778</t>
  </si>
  <si>
    <t>GQqEN7290</t>
  </si>
  <si>
    <t>Thakur</t>
  </si>
  <si>
    <t>amani57@hotmail.com</t>
  </si>
  <si>
    <t>36/759, Sodhi Road
Madanapalle 099993</t>
  </si>
  <si>
    <t>mqnbq0453</t>
  </si>
  <si>
    <t>mghose@hotmail.com</t>
  </si>
  <si>
    <t>16/382
Baria Path, Chittoor-303582</t>
  </si>
  <si>
    <t>TBSfg8088</t>
  </si>
  <si>
    <t>bhavsarahana@sarna.net</t>
  </si>
  <si>
    <t>81/76, Dada Marg
Warangal 526737</t>
  </si>
  <si>
    <t>sEpwM4641</t>
  </si>
  <si>
    <t>esekhon@gmail.com</t>
  </si>
  <si>
    <t>60, Seshadri Ganj, Kulti 014095</t>
  </si>
  <si>
    <t>FjvTL3047</t>
  </si>
  <si>
    <t>jchanda@singhal.com</t>
  </si>
  <si>
    <t>H.No. 309
Balakrishnan Circle, Gwalior-434936</t>
  </si>
  <si>
    <t>SqgTB4724</t>
  </si>
  <si>
    <t>hiranhayre@dalal.net</t>
  </si>
  <si>
    <t>29/51, Samra Marg, Karaikudi-845482</t>
  </si>
  <si>
    <t>zzora1287</t>
  </si>
  <si>
    <t>tarini16@hotmail.com</t>
  </si>
  <si>
    <t>51, Ben Chowk
Serampore-845470</t>
  </si>
  <si>
    <t>DHtho6648</t>
  </si>
  <si>
    <t>navyavohra@gmail.com</t>
  </si>
  <si>
    <t>488
Hari Zila, Maheshtala 341765</t>
  </si>
  <si>
    <t>PQRfO4739</t>
  </si>
  <si>
    <t>birahana@yahoo.com</t>
  </si>
  <si>
    <t>85
Thaker Ganj
Gudivada 744794</t>
  </si>
  <si>
    <t>MNWyu0641</t>
  </si>
  <si>
    <t>eshaniamble@gmail.com</t>
  </si>
  <si>
    <t>H.No. 62
Bains Marg
Begusarai-598018</t>
  </si>
  <si>
    <t>HVEOk8286</t>
  </si>
  <si>
    <t>laganvohra@rajagopal.biz</t>
  </si>
  <si>
    <t>H.No. 41, Varghese Path
Adoni-702729</t>
  </si>
  <si>
    <t>mJLXO4926</t>
  </si>
  <si>
    <t>Kohli</t>
  </si>
  <si>
    <t>taran88@kari-uppal.com</t>
  </si>
  <si>
    <t>38
Bava
Jodhpur-558753</t>
  </si>
  <si>
    <t>KuOQk4167</t>
  </si>
  <si>
    <t>krattan@dey.net</t>
  </si>
  <si>
    <t>H.No. 94
Trivedi Nagar, Gangtok 628865</t>
  </si>
  <si>
    <t>snWQQ0197</t>
  </si>
  <si>
    <t>mtaneja@hotmail.com</t>
  </si>
  <si>
    <t>H.No. 581, Sridhar Street
Nadiad 424947</t>
  </si>
  <si>
    <t>NxZES4460</t>
  </si>
  <si>
    <t>Yadav</t>
  </si>
  <si>
    <t>qbhatti@hotmail.com</t>
  </si>
  <si>
    <t>00/634, Dube Chowk
Dibrugarh 420223</t>
  </si>
  <si>
    <t>wCxUw2876</t>
  </si>
  <si>
    <t>nirviiyer@yahoo.com</t>
  </si>
  <si>
    <t>000, Garg Street, Bhilwara-453347</t>
  </si>
  <si>
    <t>xcvQV0414</t>
  </si>
  <si>
    <t>chaudharyhazel@hotmail.com</t>
  </si>
  <si>
    <t>95/594
Chakraborty Street, Jhansi-241997</t>
  </si>
  <si>
    <t>INaLH3604</t>
  </si>
  <si>
    <t>shayer@hotmail.com</t>
  </si>
  <si>
    <t>H.No. 618
Swaminathan Chowk
Yamunanagar-580843</t>
  </si>
  <si>
    <t>AbxuS5312</t>
  </si>
  <si>
    <t>reddyjayan@yahoo.com</t>
  </si>
  <si>
    <t>H.No. 783, Verma Chowk
Moradabad 594123</t>
  </si>
  <si>
    <t>egXyl4557</t>
  </si>
  <si>
    <t>boselagan@gmail.com</t>
  </si>
  <si>
    <t>02/810
Agarwal Marg, Munger-443346</t>
  </si>
  <si>
    <t>cZkvj2987</t>
  </si>
  <si>
    <t>Gole</t>
  </si>
  <si>
    <t>deepsamiha@hotmail.com</t>
  </si>
  <si>
    <t>602
Ganesan Ganj, Nandyal 240553</t>
  </si>
  <si>
    <t>xOkmr8927</t>
  </si>
  <si>
    <t>lalltrisha@gmail.com</t>
  </si>
  <si>
    <t>97/48, Mann Marg, Varanasi 573380</t>
  </si>
  <si>
    <t>gDZua4750</t>
  </si>
  <si>
    <t>ishaanchaudhuri@gmail.com</t>
  </si>
  <si>
    <t>H.No. 430, Iyengar Nagar, Rajkot 069713</t>
  </si>
  <si>
    <t>jnkJA8612</t>
  </si>
  <si>
    <t>reyanshdar@borde.com</t>
  </si>
  <si>
    <t>H.No. 132, Lall Chowk
Tinsukia 435097</t>
  </si>
  <si>
    <t>rVSHr7629</t>
  </si>
  <si>
    <t>aarav83@rege.com</t>
  </si>
  <si>
    <t>360
Kibe Street
Bhilai 672617</t>
  </si>
  <si>
    <t>IUVlS7773</t>
  </si>
  <si>
    <t>elakshisen@chaudhari.com</t>
  </si>
  <si>
    <t>590, Bora Marg
Bhopal-014412</t>
  </si>
  <si>
    <t>KToSP0893</t>
  </si>
  <si>
    <t>saanvilal@kumar-rout.org</t>
  </si>
  <si>
    <t>90/530, Reddy, Mau 595082</t>
  </si>
  <si>
    <t>BMtGt8618</t>
  </si>
  <si>
    <t>mallnavya@yahoo.com</t>
  </si>
  <si>
    <t>02, Tank Path
Arrah-110556</t>
  </si>
  <si>
    <t>KztEc9405</t>
  </si>
  <si>
    <t>eravel@choudhary-dixit.com</t>
  </si>
  <si>
    <t>H.No. 524
Sundaram Ganj
Varanasi-568309</t>
  </si>
  <si>
    <t>DdBCP7478</t>
  </si>
  <si>
    <t>settydarshit@badami.com</t>
  </si>
  <si>
    <t>H.No. 69, Bhatt Road, Gorakhpur 490044</t>
  </si>
  <si>
    <t>MnbTA2049</t>
  </si>
  <si>
    <t>chopradhruv@yahoo.com</t>
  </si>
  <si>
    <t>H.No. 660
Kapadia Marg, Bhiwandi-148351</t>
  </si>
  <si>
    <t>XoIyh0215</t>
  </si>
  <si>
    <t>badamivihaan@gmail.com</t>
  </si>
  <si>
    <t>H.No. 472
Ghosh Path, Bhilai-737122</t>
  </si>
  <si>
    <t>UYcVN0886</t>
  </si>
  <si>
    <t>thamankiara@som.com</t>
  </si>
  <si>
    <t>98/12, Kara
Dharmavaram 288741</t>
  </si>
  <si>
    <t>qPlEp0266</t>
  </si>
  <si>
    <t>rashavyas@borah-tank.com</t>
  </si>
  <si>
    <t>67/779, Dada Circle
Sirsa-810708</t>
  </si>
  <si>
    <t>ldJlQ1579</t>
  </si>
  <si>
    <t>Sule</t>
  </si>
  <si>
    <t>zrout@wadhwa.net</t>
  </si>
  <si>
    <t>H.No. 108
Acharya Road, Indore-767360</t>
  </si>
  <si>
    <t>aYTvw6676</t>
  </si>
  <si>
    <t>badal98@gill.biz</t>
  </si>
  <si>
    <t>H.No. 994
Uppal Zila, Bhilwara 616050</t>
  </si>
  <si>
    <t>InAFH8149</t>
  </si>
  <si>
    <t>umang00@yahoo.com</t>
  </si>
  <si>
    <t>H.No. 31
Tank Path
Raichur-295083</t>
  </si>
  <si>
    <t>zExnX8675</t>
  </si>
  <si>
    <t>bhavinkarnik@bains.com</t>
  </si>
  <si>
    <t>10/10
Ravel Ganj
Kolkata-341609</t>
  </si>
  <si>
    <t>bFzqt6619</t>
  </si>
  <si>
    <t>bbhatti@gmail.com</t>
  </si>
  <si>
    <t>H.No. 02
Andra Marg
Nagaon 655921</t>
  </si>
  <si>
    <t>rwmMe3397</t>
  </si>
  <si>
    <t>ozacharia@solanki-rout.com</t>
  </si>
  <si>
    <t>53
Ramachandran Chowk
Mango 318342</t>
  </si>
  <si>
    <t>UQfue2346</t>
  </si>
  <si>
    <t>uvohra@hotmail.com</t>
  </si>
  <si>
    <t>42/565, Bhattacharyya Circle, Proddatur-404450</t>
  </si>
  <si>
    <t>qsMHz9081</t>
  </si>
  <si>
    <t>kaulkismat@gmail.com</t>
  </si>
  <si>
    <t>87/860
Gola Zila
Kottayam 345129</t>
  </si>
  <si>
    <t>tPFWT7881</t>
  </si>
  <si>
    <t>bkumar@kapoor-verma.com</t>
  </si>
  <si>
    <t>H.No. 535, Sunder Chowk, Allahabad 673361</t>
  </si>
  <si>
    <t>ATePr2956</t>
  </si>
  <si>
    <t>xsangha@kota.com</t>
  </si>
  <si>
    <t>H.No. 60, Koshy Zila, Chandigarh-400092</t>
  </si>
  <si>
    <t>Eyvqa3877</t>
  </si>
  <si>
    <t>wtank@som.com</t>
  </si>
  <si>
    <t>56
Karan Street
Chandrapur-403498</t>
  </si>
  <si>
    <t>LqCcv4220</t>
  </si>
  <si>
    <t>navya</t>
  </si>
  <si>
    <t>renee</t>
  </si>
  <si>
    <t>hiran</t>
  </si>
  <si>
    <t>sana</t>
  </si>
  <si>
    <t>nirvi</t>
  </si>
  <si>
    <t>saksham</t>
  </si>
  <si>
    <t>nishith</t>
  </si>
  <si>
    <t>shray</t>
  </si>
  <si>
    <t>yashvi</t>
  </si>
  <si>
    <t>pranay</t>
  </si>
  <si>
    <t>oorja</t>
  </si>
  <si>
    <t>ivan</t>
  </si>
  <si>
    <t>jiya</t>
  </si>
  <si>
    <t>heer</t>
  </si>
  <si>
    <t>fateh</t>
  </si>
  <si>
    <t>vritika</t>
  </si>
  <si>
    <t>armaan</t>
  </si>
  <si>
    <t>siya</t>
  </si>
  <si>
    <t>dhanuk</t>
  </si>
  <si>
    <t>aayush</t>
  </si>
  <si>
    <t>miraan</t>
  </si>
  <si>
    <t>aarav</t>
  </si>
  <si>
    <t>riya</t>
  </si>
  <si>
    <t>sumer</t>
  </si>
  <si>
    <t>pari</t>
  </si>
  <si>
    <t>aaryahi</t>
  </si>
  <si>
    <t>misha</t>
  </si>
  <si>
    <t>kismat</t>
  </si>
  <si>
    <t>hansh</t>
  </si>
  <si>
    <t>zeeshan</t>
  </si>
  <si>
    <t>nakul</t>
  </si>
  <si>
    <t>neelofar</t>
  </si>
  <si>
    <t>hridaan</t>
  </si>
  <si>
    <t>hrishita</t>
  </si>
  <si>
    <t>ela</t>
  </si>
  <si>
    <t>yakshit</t>
  </si>
  <si>
    <t>samiha</t>
  </si>
  <si>
    <t>ayesha</t>
  </si>
  <si>
    <t>shlok</t>
  </si>
  <si>
    <t>indrans</t>
  </si>
  <si>
    <t>chirag</t>
  </si>
  <si>
    <t>anahi</t>
  </si>
  <si>
    <t>divyansh</t>
  </si>
  <si>
    <t>amani</t>
  </si>
  <si>
    <t>jivika</t>
  </si>
  <si>
    <t>keya</t>
  </si>
  <si>
    <t>romil</t>
  </si>
  <si>
    <t xml:space="preserve">inaaya </t>
  </si>
  <si>
    <t>khushi</t>
  </si>
  <si>
    <t>aarush</t>
  </si>
  <si>
    <t>rohan</t>
  </si>
  <si>
    <t>tiya</t>
  </si>
  <si>
    <t>tanya</t>
  </si>
  <si>
    <t>mishti</t>
  </si>
  <si>
    <t>aaina</t>
  </si>
  <si>
    <t>gokul</t>
  </si>
  <si>
    <t>ryan</t>
  </si>
  <si>
    <t>hunar</t>
  </si>
  <si>
    <t>mahika</t>
  </si>
  <si>
    <t>raghav</t>
  </si>
  <si>
    <t>elakshi</t>
  </si>
  <si>
    <t>seher</t>
  </si>
  <si>
    <t>tarini</t>
  </si>
  <si>
    <t>jayan</t>
  </si>
  <si>
    <t>shalv</t>
  </si>
  <si>
    <t>ehsaan</t>
  </si>
  <si>
    <t>nayantara</t>
  </si>
  <si>
    <t>bhamini</t>
  </si>
  <si>
    <t>zain</t>
  </si>
  <si>
    <t>vardaniya</t>
  </si>
  <si>
    <t>indranil</t>
  </si>
  <si>
    <t>samar</t>
  </si>
  <si>
    <t>vihaan</t>
  </si>
  <si>
    <t>yuvaan</t>
  </si>
  <si>
    <t>adah</t>
  </si>
  <si>
    <t>ivana</t>
  </si>
  <si>
    <t>reyansh</t>
  </si>
  <si>
    <t>uthkarsh</t>
  </si>
  <si>
    <t>aarna</t>
  </si>
  <si>
    <t>dhanush</t>
  </si>
  <si>
    <t xml:space="preserve">ahana </t>
  </si>
  <si>
    <t>purab</t>
  </si>
  <si>
    <t>kiaan</t>
  </si>
  <si>
    <t>samarth</t>
  </si>
  <si>
    <t>kartik</t>
  </si>
  <si>
    <t>prisha</t>
  </si>
  <si>
    <t>madhup</t>
  </si>
  <si>
    <t>anay</t>
  </si>
  <si>
    <t>anahita</t>
  </si>
  <si>
    <t>manikya</t>
  </si>
  <si>
    <t>vidur</t>
  </si>
  <si>
    <t>kashvi</t>
  </si>
  <si>
    <t>lagan</t>
  </si>
  <si>
    <t>rati</t>
  </si>
  <si>
    <t>shaan</t>
  </si>
  <si>
    <t>sara</t>
  </si>
  <si>
    <t>suhana</t>
  </si>
  <si>
    <t>bhavin</t>
  </si>
  <si>
    <t>ojas</t>
  </si>
  <si>
    <t>jivin</t>
  </si>
  <si>
    <t>kabir</t>
  </si>
  <si>
    <t>damini</t>
  </si>
  <si>
    <t>madhav</t>
  </si>
  <si>
    <t>jayesh</t>
  </si>
  <si>
    <t>divit</t>
  </si>
  <si>
    <t>advik</t>
  </si>
  <si>
    <t>raunak</t>
  </si>
  <si>
    <t>saanvi</t>
  </si>
  <si>
    <t>anaya</t>
  </si>
  <si>
    <t>anvi</t>
  </si>
  <si>
    <t>tushar</t>
  </si>
  <si>
    <t>samaira</t>
  </si>
  <si>
    <t>drishya</t>
  </si>
  <si>
    <t>taran</t>
  </si>
  <si>
    <t>umang</t>
  </si>
  <si>
    <t>dhruv</t>
  </si>
  <si>
    <t>myra</t>
  </si>
  <si>
    <t>zara</t>
  </si>
  <si>
    <t>himmat</t>
  </si>
  <si>
    <t>ishaan</t>
  </si>
  <si>
    <t>emir</t>
  </si>
  <si>
    <t>vaibhav</t>
  </si>
  <si>
    <t>ishita</t>
  </si>
  <si>
    <t>arhaan</t>
  </si>
  <si>
    <t>shayak</t>
  </si>
  <si>
    <t>kaira</t>
  </si>
  <si>
    <t>baiju</t>
  </si>
  <si>
    <t>divij</t>
  </si>
  <si>
    <t>zoya</t>
  </si>
  <si>
    <t>rania</t>
  </si>
  <si>
    <t>rasha</t>
  </si>
  <si>
    <t>anika</t>
  </si>
  <si>
    <t>azad</t>
  </si>
  <si>
    <t>badal</t>
  </si>
  <si>
    <t>taimur</t>
  </si>
  <si>
    <t>veer</t>
  </si>
  <si>
    <t>nirvaan</t>
  </si>
  <si>
    <t>dharmajan</t>
  </si>
  <si>
    <t>dishani</t>
  </si>
  <si>
    <t>vanya</t>
  </si>
  <si>
    <t>urvi</t>
  </si>
  <si>
    <t>mehul</t>
  </si>
  <si>
    <t>kavya</t>
  </si>
  <si>
    <t>arnav</t>
  </si>
  <si>
    <t>vedika</t>
  </si>
  <si>
    <t>lakshay</t>
  </si>
  <si>
    <t>kiara</t>
  </si>
  <si>
    <t>rhea</t>
  </si>
  <si>
    <t>trisha</t>
  </si>
  <si>
    <t>ira</t>
  </si>
  <si>
    <t>faiyaz</t>
  </si>
  <si>
    <t>jayant</t>
  </si>
  <si>
    <t>eva</t>
  </si>
  <si>
    <t>tejas</t>
  </si>
  <si>
    <t>farhan</t>
  </si>
  <si>
    <t>lavanya</t>
  </si>
  <si>
    <t>alisha</t>
  </si>
  <si>
    <t>adira</t>
  </si>
  <si>
    <t>manjari</t>
  </si>
  <si>
    <t>jhanvi</t>
  </si>
  <si>
    <t>yasmin</t>
  </si>
  <si>
    <t>vivaan</t>
  </si>
  <si>
    <t>indrajit</t>
  </si>
  <si>
    <t>parinaaz</t>
  </si>
  <si>
    <t>mohanlal</t>
  </si>
  <si>
    <t>ritvik</t>
  </si>
  <si>
    <t>eshani</t>
  </si>
  <si>
    <t xml:space="preserve">yuvraj </t>
  </si>
  <si>
    <t>anya</t>
  </si>
  <si>
    <t>advika</t>
  </si>
  <si>
    <t>abram</t>
  </si>
  <si>
    <t>darshit</t>
  </si>
  <si>
    <t>tara</t>
  </si>
  <si>
    <t>neysa</t>
  </si>
  <si>
    <t>priyansh</t>
  </si>
  <si>
    <t>gatik</t>
  </si>
  <si>
    <t>charvi</t>
  </si>
  <si>
    <t>zaina</t>
  </si>
  <si>
    <t>devansh</t>
  </si>
  <si>
    <t>aradhya</t>
  </si>
  <si>
    <t>alia</t>
  </si>
  <si>
    <t>piya</t>
  </si>
  <si>
    <t>ranbir</t>
  </si>
  <si>
    <t>biju</t>
  </si>
  <si>
    <t>akarsh</t>
  </si>
  <si>
    <t>riaan</t>
  </si>
  <si>
    <t>stuvan</t>
  </si>
  <si>
    <t>mamooty</t>
  </si>
  <si>
    <t>lakshit</t>
  </si>
  <si>
    <t>sahil</t>
  </si>
  <si>
    <t>amira</t>
  </si>
  <si>
    <t>nitara</t>
  </si>
  <si>
    <t>krish</t>
  </si>
  <si>
    <t>hazel</t>
  </si>
  <si>
    <t>shamik</t>
  </si>
  <si>
    <t>onkar</t>
  </si>
  <si>
    <t>pihu</t>
  </si>
  <si>
    <t>miraya</t>
  </si>
  <si>
    <t>diya</t>
  </si>
  <si>
    <t>shanaya</t>
  </si>
  <si>
    <t>nitya</t>
  </si>
  <si>
    <t>saira</t>
  </si>
  <si>
    <t>nehmat</t>
  </si>
  <si>
    <t>aniruddh</t>
  </si>
  <si>
    <t>prerak</t>
  </si>
  <si>
    <t>Proper</t>
  </si>
  <si>
    <t>Trim</t>
  </si>
  <si>
    <t>Gender</t>
  </si>
  <si>
    <t>Merge to column  full name</t>
  </si>
  <si>
    <t>CONCATENATE Full  Name</t>
  </si>
  <si>
    <t>Age</t>
  </si>
  <si>
    <t xml:space="preserve">senior critizen label&gt;60                     </t>
  </si>
  <si>
    <t>Data Validation (Dropdown)</t>
  </si>
  <si>
    <t>Extract Pin</t>
  </si>
  <si>
    <t>Conditional Formatting</t>
  </si>
  <si>
    <t>Extract Email Domain</t>
  </si>
  <si>
    <t>Age Group</t>
  </si>
  <si>
    <t>Row Labels</t>
  </si>
  <si>
    <t>Grand Total</t>
  </si>
  <si>
    <t>Column Labels</t>
  </si>
  <si>
    <t>&lt;30</t>
  </si>
  <si>
    <t>&gt;60</t>
  </si>
  <si>
    <t>30-60</t>
  </si>
  <si>
    <t>(blank)</t>
  </si>
  <si>
    <t>Count of first_name</t>
  </si>
  <si>
    <t>Standardize Gender</t>
  </si>
  <si>
    <t>Filtering</t>
  </si>
  <si>
    <t xml:space="preserve">Sorting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</si>
</sst>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i/>
      <sz val="10"/>
      <color theme="1"/>
      <name val="Arial Unicode MS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13" fillId="33" borderId="0" xfId="0" applyFont="1" applyFill="1"/>
    <xf numFmtId="0" fontId="17" fillId="33" borderId="0" xfId="0" applyFont="1" applyFill="1"/>
    <xf numFmtId="0" fontId="18" fillId="0" borderId="0" xfId="0" applyFont="1"/>
    <xf numFmtId="0" fontId="19" fillId="0" borderId="0" xfId="0" applyFont="1"/>
    <xf numFmtId="0" fontId="13" fillId="33" borderId="0" xfId="0" applyFont="1" applyFill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3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vi" refreshedDate="46123.444826273146" createdVersion="8" refreshedVersion="8" minRefreshableVersion="3" recordCount="206" xr:uid="{2FBB81B7-D0F6-4294-88CC-7FD59AA35587}">
  <cacheSource type="worksheet">
    <worksheetSource ref="A1:K207" sheet="Raw_Data (2)"/>
  </cacheSource>
  <cacheFields count="11">
    <cacheField name="first_name" numFmtId="0">
      <sharedItems/>
    </cacheField>
    <cacheField name="last_name" numFmtId="0">
      <sharedItems/>
    </cacheField>
    <cacheField name="date_of_birth" numFmtId="14">
      <sharedItems containsSemiMixedTypes="0" containsNonDate="0" containsDate="1" containsString="0" minDate="1948-12-28T00:00:00" maxDate="2005-11-12T00:00:00"/>
    </cacheField>
    <cacheField name="gender" numFmtId="0">
      <sharedItems count="3">
        <s v="Other"/>
        <s v="Male"/>
        <s v="Female"/>
      </sharedItems>
    </cacheField>
    <cacheField name="contact_number" numFmtId="0">
      <sharedItems containsSemiMixedTypes="0" containsString="0" containsNumber="1" containsInteger="1" minValue="108867974" maxValue="919978772934"/>
    </cacheField>
    <cacheField name="email" numFmtId="0">
      <sharedItems/>
    </cacheField>
    <cacheField name="address" numFmtId="0">
      <sharedItems/>
    </cacheField>
    <cacheField name="aadhaar_number" numFmtId="0">
      <sharedItems containsSemiMixedTypes="0" containsString="0" containsNumber="1" containsInteger="1" minValue="169236458" maxValue="9997419267"/>
    </cacheField>
    <cacheField name="pan_number" numFmtId="0">
      <sharedItems/>
    </cacheField>
    <cacheField name="Age" numFmtId="0">
      <sharedItems containsString="0" containsBlank="1" containsNumber="1" containsInteger="1" minValue="20" maxValue="77"/>
    </cacheField>
    <cacheField name="Age Group" numFmtId="0">
      <sharedItems containsBlank="1" count="4">
        <m/>
        <s v="&gt;60"/>
        <s v="30-60"/>
        <s v="&lt;3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6">
  <r>
    <s v="navya"/>
    <s v="Bhalla"/>
    <d v="1950-07-04T00:00:00"/>
    <x v="0"/>
    <n v="4332181960"/>
    <s v="chopramehul@ramachandran.com"/>
    <s v="94, Sibal Nagar, Bhusawal-423511"/>
    <n v="6155940781"/>
    <s v="ONxKm6184"/>
    <m/>
    <x v="0"/>
  </r>
  <r>
    <s v="renee"/>
    <s v="Banerjee"/>
    <d v="1951-12-03T00:00:00"/>
    <x v="1"/>
    <n v="3413164752"/>
    <s v="lakshay41@hotmail.com"/>
    <s v="764, Choudhary Circle_x000a_Pimpri-Chinchwad-056413"/>
    <n v="9537672423"/>
    <s v="BLzxo8849"/>
    <n v="75"/>
    <x v="1"/>
  </r>
  <r>
    <s v="hiran"/>
    <s v="Kumar"/>
    <d v="1982-05-22T00:00:00"/>
    <x v="1"/>
    <n v="910122691669"/>
    <s v="ishita01@hotmail.com"/>
    <s v="H.No. 462_x000a_Agarwal Chowk, Orai 814893"/>
    <n v="2528809570"/>
    <s v="dpKff1543"/>
    <n v="74"/>
    <x v="1"/>
  </r>
  <r>
    <s v="sana"/>
    <s v="Kibe"/>
    <d v="2004-05-02T00:00:00"/>
    <x v="0"/>
    <n v="918227824896"/>
    <s v="riyadugal@sampath-sachar.com"/>
    <s v="H.No. 331_x000a_Anne Path, Giridih-010310"/>
    <n v="5183473829"/>
    <s v="ZAmgg9737"/>
    <n v="43"/>
    <x v="2"/>
  </r>
  <r>
    <s v="nirvi"/>
    <s v="Kale"/>
    <d v="1972-11-30T00:00:00"/>
    <x v="2"/>
    <n v="6701065133"/>
    <s v="bboase@dewan.com"/>
    <s v="10/80_x000a_Shetty Zila_x000a_Rourkela 773602"/>
    <n v="6064746872"/>
    <s v="LVIdV3430"/>
    <n v="21"/>
    <x v="3"/>
  </r>
  <r>
    <s v="saksham"/>
    <s v="Balakrishnan"/>
    <d v="1952-03-20T00:00:00"/>
    <x v="1"/>
    <n v="7882081219"/>
    <s v="yuvaanbhasin@dasgupta.com"/>
    <s v="99/854_x000a_Sami Ganj_x000a_Mathura 624751"/>
    <n v="799118384"/>
    <s v="xskCI2513"/>
    <n v="53"/>
    <x v="2"/>
  </r>
  <r>
    <s v="nishith"/>
    <s v="Sama"/>
    <d v="1955-10-19T00:00:00"/>
    <x v="1"/>
    <n v="8692322602"/>
    <s v="qsuresh@hotmail.com"/>
    <s v="160_x000a_Choudhry Chowk_x000a_Jaunpur-433036"/>
    <n v="5414586850"/>
    <s v="qcgMB1429"/>
    <n v="74"/>
    <x v="1"/>
  </r>
  <r>
    <s v="shray"/>
    <s v="Sethi"/>
    <d v="2002-04-27T00:00:00"/>
    <x v="0"/>
    <n v="6981693406"/>
    <s v="tejaskale@salvi.org"/>
    <s v="48/465, Sarin Marg, Begusarai 366299"/>
    <n v="4680443699"/>
    <s v="RnGEY5777"/>
    <n v="70"/>
    <x v="1"/>
  </r>
  <r>
    <s v="yashvi"/>
    <s v="Shah"/>
    <d v="1960-05-08T00:00:00"/>
    <x v="1"/>
    <n v="1489513433"/>
    <s v="bajajnirvaan@ramaswamy-varghese.com"/>
    <s v="93/676_x000a_Borah Ganj, Aligarh-328708"/>
    <n v="3172788957"/>
    <s v="CkVEC9868"/>
    <n v="23"/>
    <x v="3"/>
  </r>
  <r>
    <s v="pranay"/>
    <s v="Sheth"/>
    <d v="1965-08-18T00:00:00"/>
    <x v="0"/>
    <n v="4873471434"/>
    <s v="hrishita12@gmail.com"/>
    <s v="23/166_x000a_Madan Path_x000a_Vijayanagaram-366909"/>
    <n v="6705466889"/>
    <s v="BFbyv3734"/>
    <n v="65"/>
    <x v="1"/>
  </r>
  <r>
    <s v="oorja"/>
    <s v="Sane"/>
    <d v="2003-02-12T00:00:00"/>
    <x v="0"/>
    <n v="2729806990"/>
    <s v="dbir@bakshi.biz"/>
    <s v="55, Dewan Marg, Nizamabad 708053"/>
    <n v="1003309232"/>
    <s v="DSqXx7193"/>
    <n v="60"/>
    <x v="2"/>
  </r>
  <r>
    <s v="ivan"/>
    <s v="Raman"/>
    <d v="1990-02-16T00:00:00"/>
    <x v="0"/>
    <n v="1241904966"/>
    <s v="rajagopalanprisha@dara.com"/>
    <s v="H.No. 86, Banerjee Path_x000a_Ahmedabad 716572"/>
    <n v="6284987769"/>
    <s v="rCpWD4531"/>
    <n v="23"/>
    <x v="3"/>
  </r>
  <r>
    <s v="jiya"/>
    <s v="Ramaswamy"/>
    <d v="1994-04-10T00:00:00"/>
    <x v="1"/>
    <n v="5075273545"/>
    <s v="ivana08@gmail.com"/>
    <s v="67/837, Kapur Chowk_x000a_Tiruchirappalli 363495"/>
    <n v="7885685574"/>
    <s v="UmuhV4431"/>
    <n v="36"/>
    <x v="2"/>
  </r>
  <r>
    <s v="heer"/>
    <s v="Singh"/>
    <d v="1995-10-09T00:00:00"/>
    <x v="0"/>
    <n v="913374989413"/>
    <s v="taranchakraborty@yahoo.com"/>
    <s v="H.No. 00, Dhingra Circle_x000a_Pallavaram 094777"/>
    <n v="5204711671"/>
    <s v="ZKtfp9022"/>
    <n v="32"/>
    <x v="2"/>
  </r>
  <r>
    <s v="fateh"/>
    <s v="Mallick"/>
    <d v="2000-10-28T00:00:00"/>
    <x v="2"/>
    <n v="9993867749"/>
    <s v="jiya90@hotmail.com"/>
    <s v="34/123, Majumdar Street_x000a_Sangli-Miraj &amp; Kupwad 679740"/>
    <n v="3447134936"/>
    <s v="rjedk1832"/>
    <n v="30"/>
    <x v="2"/>
  </r>
  <r>
    <s v="vritika"/>
    <s v="Dube"/>
    <d v="1989-04-18T00:00:00"/>
    <x v="1"/>
    <n v="9471746488"/>
    <s v="mbaria@gmail.com"/>
    <s v="40/13_x000a_Raj, Agartala-278742"/>
    <n v="9671756551"/>
    <s v="sQzWJ2567"/>
    <n v="25"/>
    <x v="3"/>
  </r>
  <r>
    <s v="armaan"/>
    <s v="Karan"/>
    <d v="1954-10-18T00:00:00"/>
    <x v="1"/>
    <n v="4516808760"/>
    <s v="misha77@chaudry.net"/>
    <s v="71_x000a_Rau Nagar_x000a_Kozhikode-808613"/>
    <n v="1712748467"/>
    <s v="jymMG7378"/>
    <n v="36"/>
    <x v="2"/>
  </r>
  <r>
    <s v="siya"/>
    <s v="Wable"/>
    <d v="1958-02-03T00:00:00"/>
    <x v="1"/>
    <n v="914658404499"/>
    <s v="alialuthra@yahoo.com"/>
    <s v="86/75_x000a_Sarkar Ganj, Aurangabad 360576"/>
    <n v="6270289517"/>
    <s v="UjAPj1870"/>
    <n v="71"/>
    <x v="1"/>
  </r>
  <r>
    <s v="dhanuk"/>
    <s v="Keer"/>
    <d v="2001-12-26T00:00:00"/>
    <x v="1"/>
    <n v="5961586578"/>
    <s v="dalalmohanlal@dhawan.com"/>
    <s v="17/240, Gaba Nagar, Durg-562386"/>
    <n v="9222196937"/>
    <s v="OqDqQ9237"/>
    <n v="68"/>
    <x v="1"/>
  </r>
  <r>
    <s v="aayush"/>
    <s v="Yogi"/>
    <d v="2003-07-24T00:00:00"/>
    <x v="1"/>
    <n v="4821759464"/>
    <s v="kiaan67@gmail.com"/>
    <s v="59/44_x000a_Thakkar Nagar_x000a_Panipat-909743"/>
    <n v="9533942104"/>
    <s v="Uifsu7095"/>
    <n v="24"/>
    <x v="3"/>
  </r>
  <r>
    <s v="miraan"/>
    <s v="Wali"/>
    <d v="1985-05-20T00:00:00"/>
    <x v="0"/>
    <n v="916758692617"/>
    <s v="arhaan53@yahoo.com"/>
    <s v="H.No. 15, Yohannan Circle, Ghaziabad-431713"/>
    <n v="9005329318"/>
    <s v="vXjYM3933"/>
    <n v="22"/>
    <x v="3"/>
  </r>
  <r>
    <s v="aarav"/>
    <s v="Devi"/>
    <d v="1958-08-26T00:00:00"/>
    <x v="1"/>
    <n v="918421020539"/>
    <s v="chahalprerak@gmail.com"/>
    <s v="11/77_x000a_Kunda Path_x000a_Bidhannagar-908470"/>
    <n v="766177115"/>
    <s v="rNOLJ9212"/>
    <n v="40"/>
    <x v="2"/>
  </r>
  <r>
    <s v="riya"/>
    <s v="Gaba"/>
    <d v="1974-09-22T00:00:00"/>
    <x v="0"/>
    <n v="8478961183"/>
    <s v="owali@yahoo.com"/>
    <s v="61_x000a_Kala Path, Rohtak 271111"/>
    <n v="6152809885"/>
    <s v="UdsMt1656"/>
    <n v="67"/>
    <x v="1"/>
  </r>
  <r>
    <s v="sumer"/>
    <s v="Ben"/>
    <d v="1988-02-18T00:00:00"/>
    <x v="1"/>
    <n v="3273158514"/>
    <s v="juppal@rana.net"/>
    <s v="H.No. 244_x000a_Gill Path_x000a_Bokaro 961201"/>
    <n v="8366752545"/>
    <s v="jkWNd9910"/>
    <n v="51"/>
    <x v="2"/>
  </r>
  <r>
    <s v="pari"/>
    <s v="Baria"/>
    <d v="1967-04-28T00:00:00"/>
    <x v="0"/>
    <n v="6797643815"/>
    <s v="dharparinaaz@hotmail.com"/>
    <s v="H.No. 369_x000a_Aggarwal Nagar, Barasat-244510"/>
    <n v="7622683885"/>
    <s v="bDeuK1606"/>
    <n v="38"/>
    <x v="2"/>
  </r>
  <r>
    <s v="aaryahi"/>
    <s v="Mangat"/>
    <d v="1976-04-28T00:00:00"/>
    <x v="0"/>
    <n v="6416052975"/>
    <s v="guppal@kamdar.biz"/>
    <s v="H.No. 53_x000a_Sood Path_x000a_Solapur 883552"/>
    <n v="3124329212"/>
    <s v="CRKPO7799"/>
    <n v="58"/>
    <x v="2"/>
  </r>
  <r>
    <s v="misha"/>
    <s v="Edwin"/>
    <d v="1991-06-27T00:00:00"/>
    <x v="0"/>
    <n v="2717744905"/>
    <s v="anahi70@gour.com"/>
    <s v="98_x000a_Kar Nagar_x000a_Pondicherry 820715"/>
    <n v="1820377889"/>
    <s v="yAXvR2554"/>
    <n v="49"/>
    <x v="2"/>
  </r>
  <r>
    <s v="kismat"/>
    <s v="Bal"/>
    <d v="2002-07-06T00:00:00"/>
    <x v="0"/>
    <n v="5151864492"/>
    <s v="mannenitara@gmail.com"/>
    <s v="62/914_x000a_Guha Circle, Warangal 685054"/>
    <n v="2357332214"/>
    <s v="cQvXN1888"/>
    <n v="34"/>
    <x v="2"/>
  </r>
  <r>
    <s v="hansh"/>
    <s v="Raju"/>
    <d v="1974-06-10T00:00:00"/>
    <x v="2"/>
    <n v="912292706537"/>
    <s v="idada@gmail.com"/>
    <s v="597_x000a_Sodhi Chowk, Eluru 239240"/>
    <n v="7581814124"/>
    <s v="foCwb7826"/>
    <n v="23"/>
    <x v="3"/>
  </r>
  <r>
    <s v="zeeshan"/>
    <s v="Bala"/>
    <d v="1975-10-13T00:00:00"/>
    <x v="1"/>
    <n v="5361530515"/>
    <s v="armaandhar@sarin-thakur.com"/>
    <s v="01/04_x000a_Tiwari Ganj, Motihari-143410"/>
    <n v="3697117980"/>
    <s v="sBaNw8932"/>
    <n v="51"/>
    <x v="2"/>
  </r>
  <r>
    <s v="nakul"/>
    <s v="Mangal"/>
    <d v="1977-02-24T00:00:00"/>
    <x v="2"/>
    <n v="911851888880"/>
    <s v="obains@yahoo.com"/>
    <s v="05/153_x000a_Som Zila, Guntur 585277"/>
    <n v="2217043030"/>
    <s v="IEqcW5486"/>
    <n v="50"/>
    <x v="2"/>
  </r>
  <r>
    <s v="neelofar"/>
    <s v="Chandran"/>
    <d v="1968-04-10T00:00:00"/>
    <x v="0"/>
    <n v="541566765"/>
    <s v="fsaraf@sur-lad.com"/>
    <s v="H.No. 692_x000a_Din Circle_x000a_Kota 544796"/>
    <n v="2757059640"/>
    <s v="ZVRkb1658"/>
    <n v="49"/>
    <x v="2"/>
  </r>
  <r>
    <s v="hridaan"/>
    <s v="Vala"/>
    <d v="1990-02-24T00:00:00"/>
    <x v="2"/>
    <n v="7021355690"/>
    <s v="xgoyal@singh-barad.org"/>
    <s v="54_x000a_Bhandari Ganj_x000a_Gaya-868144"/>
    <n v="7394731217"/>
    <s v="QwTeJ2715"/>
    <n v="58"/>
    <x v="2"/>
  </r>
  <r>
    <s v="hrishita"/>
    <s v="Dhillon"/>
    <d v="1969-03-20T00:00:00"/>
    <x v="1"/>
    <n v="912583132370"/>
    <s v="anahita82@hotmail.com"/>
    <s v="H.No. 67, Jha Circle_x000a_Ramgarh 251778"/>
    <n v="5289226801"/>
    <s v="kuTow8242"/>
    <n v="36"/>
    <x v="2"/>
  </r>
  <r>
    <s v="ela"/>
    <s v="Wason"/>
    <d v="1968-02-19T00:00:00"/>
    <x v="1"/>
    <n v="914384249818"/>
    <s v="jayansahni@sem.com"/>
    <s v="H.No. 094, Sinha Ganj_x000a_Tadipatri 784473"/>
    <n v="6471027677"/>
    <s v="uTuUw3592"/>
    <n v="57"/>
    <x v="2"/>
  </r>
  <r>
    <s v="yakshit"/>
    <s v="Bhattacharyya"/>
    <d v="2000-07-26T00:00:00"/>
    <x v="0"/>
    <n v="8815371473"/>
    <s v="bakshiriaan@venkatesh-randhawa.biz"/>
    <s v="H.No. 95, Singh Ganj_x000a_Panchkula-747016"/>
    <n v="8733950047"/>
    <s v="agBiq9748"/>
    <n v="58"/>
    <x v="2"/>
  </r>
  <r>
    <s v="samiha"/>
    <s v="Goswami"/>
    <d v="2000-10-13T00:00:00"/>
    <x v="2"/>
    <n v="5060983584"/>
    <s v="ckrishnan@dey.org"/>
    <s v="H.No. 655, Goswami Circle_x000a_Davanagere 800025"/>
    <n v="7872982595"/>
    <s v="LvGGI2694"/>
    <n v="25"/>
    <x v="3"/>
  </r>
  <r>
    <s v="ayesha"/>
    <s v="Sathe"/>
    <d v="1987-02-10T00:00:00"/>
    <x v="2"/>
    <n v="7055169409"/>
    <s v="neysa99@gmail.com"/>
    <s v="896_x000a_Tara Street_x000a_Patna 307562"/>
    <n v="6368970283"/>
    <s v="yulDI8578"/>
    <n v="25"/>
    <x v="3"/>
  </r>
  <r>
    <s v="shlok"/>
    <s v="Mahajan"/>
    <d v="1972-11-29T00:00:00"/>
    <x v="2"/>
    <n v="4973348434"/>
    <s v="prishasarraf@yahoo.com"/>
    <s v="H.No. 84_x000a_Bhat Road, Tenali 240415"/>
    <n v="7473384842"/>
    <s v="pdQHo1993"/>
    <n v="39"/>
    <x v="2"/>
  </r>
  <r>
    <s v="navya"/>
    <s v="Dada"/>
    <d v="1952-05-17T00:00:00"/>
    <x v="1"/>
    <n v="916571208267"/>
    <s v="tanyadhawan@yahoo.com"/>
    <s v="H.No. 938, Chahal Nagar, Belgaum 672400"/>
    <n v="4991547887"/>
    <s v="mZhvk2874"/>
    <n v="53"/>
    <x v="2"/>
  </r>
  <r>
    <s v="indrans"/>
    <s v="Karan"/>
    <d v="1999-09-09T00:00:00"/>
    <x v="2"/>
    <n v="5687833918"/>
    <s v="dhanuk91@gmail.com"/>
    <s v="587, Sangha Zila_x000a_Ballia-187072"/>
    <n v="8679087406"/>
    <s v="ecBwS4039"/>
    <n v="73"/>
    <x v="1"/>
  </r>
  <r>
    <s v="chirag"/>
    <s v="Madan"/>
    <d v="1952-11-26T00:00:00"/>
    <x v="1"/>
    <n v="917046226567"/>
    <s v="rbaria@hotmail.com"/>
    <s v="H.No. 286_x000a_Bhatt Circle_x000a_Delhi-478686"/>
    <n v="3375243106"/>
    <s v="egMcC9033"/>
    <n v="26"/>
    <x v="3"/>
  </r>
  <r>
    <s v="anahi"/>
    <s v="Balakrishnan"/>
    <d v="1987-01-28T00:00:00"/>
    <x v="2"/>
    <n v="6882634351"/>
    <s v="divij83@gmail.com"/>
    <s v="99/013_x000a_Sengupta, Nangloi Jat 540331"/>
    <n v="7393638546"/>
    <s v="qxGFD7854"/>
    <n v="73"/>
    <x v="1"/>
  </r>
  <r>
    <s v="divyansh"/>
    <s v="Suri"/>
    <d v="1997-12-18T00:00:00"/>
    <x v="1"/>
    <n v="5355609320"/>
    <s v="jdivan@gmail.com"/>
    <s v="93, Maharaj Chowk, Bardhaman 772522"/>
    <n v="8728080100"/>
    <s v="TjanG6231"/>
    <n v="39"/>
    <x v="2"/>
  </r>
  <r>
    <s v="amani"/>
    <s v="Grover"/>
    <d v="1952-12-01T00:00:00"/>
    <x v="2"/>
    <n v="9770088600"/>
    <s v="advik86@gmail.com"/>
    <s v="23/39, Date Circle_x000a_Shimoga 156793"/>
    <n v="3410166687"/>
    <s v="FBPYv0021"/>
    <n v="28"/>
    <x v="3"/>
  </r>
  <r>
    <s v="jivika"/>
    <s v="Varughese"/>
    <d v="1955-04-18T00:00:00"/>
    <x v="2"/>
    <n v="339740148"/>
    <s v="sakshamanand@raj.biz"/>
    <s v="939_x000a_Sandhu Marg_x000a_Yamunanagar 185016"/>
    <n v="3159996504"/>
    <s v="JyBlR7735"/>
    <n v="73"/>
    <x v="1"/>
  </r>
  <r>
    <s v="keya"/>
    <s v="Sahota"/>
    <d v="1974-09-01T00:00:00"/>
    <x v="0"/>
    <n v="919431142626"/>
    <s v="emir10@yahoo.com"/>
    <s v="H.No. 12_x000a_Chander Zila, Sultan Pur Majra-101581"/>
    <n v="9956046618"/>
    <s v="Rykir3982"/>
    <n v="70"/>
    <x v="1"/>
  </r>
  <r>
    <s v="romil"/>
    <s v="Desai"/>
    <d v="1982-05-12T00:00:00"/>
    <x v="2"/>
    <n v="911264647154"/>
    <s v="nrajan@karnik.com"/>
    <s v="59, Suri Marg, Gandhidham 692459"/>
    <n v="3752654793"/>
    <s v="xhKmL5646"/>
    <n v="51"/>
    <x v="2"/>
  </r>
  <r>
    <s v="inaaya "/>
    <s v="Chana"/>
    <d v="1995-03-13T00:00:00"/>
    <x v="1"/>
    <n v="737416724"/>
    <s v="nirvi26@bansal-kapur.org"/>
    <s v="86/80_x000a_Sarna Path, Moradabad-529096"/>
    <n v="5610143888"/>
    <s v="xzDXR9937"/>
    <n v="43"/>
    <x v="2"/>
  </r>
  <r>
    <s v="khushi"/>
    <s v="Sant"/>
    <d v="1982-11-11T00:00:00"/>
    <x v="0"/>
    <n v="915071461125"/>
    <s v="amani38@yahoo.com"/>
    <s v="H.No. 775_x000a_Doctor Zila, Raipur 512382"/>
    <n v="8258673622"/>
    <s v="mCLBy6609"/>
    <n v="31"/>
    <x v="2"/>
  </r>
  <r>
    <s v="aarush"/>
    <s v="Sarraf"/>
    <d v="1963-06-03T00:00:00"/>
    <x v="2"/>
    <n v="914191825537"/>
    <s v="oorja78@dugar.org"/>
    <s v="H.No. 57, Chadha, Srikakulam-251341"/>
    <n v="2528669296"/>
    <s v="SPlJk6278"/>
    <n v="43"/>
    <x v="2"/>
  </r>
  <r>
    <s v="rohan"/>
    <s v="Vohra"/>
    <d v="1950-12-31T00:00:00"/>
    <x v="1"/>
    <n v="4517133959"/>
    <s v="mannatboase@gmail.com"/>
    <s v="58/49, Chad Circle_x000a_Jalna-948126"/>
    <n v="422325367"/>
    <s v="yCeOY2946"/>
    <n v="62"/>
    <x v="1"/>
  </r>
  <r>
    <s v="tiya"/>
    <s v="Batra"/>
    <d v="1976-03-20T00:00:00"/>
    <x v="2"/>
    <n v="4577590175"/>
    <s v="bchopra@kota.com"/>
    <s v="92/97_x000a_Warrior Path, Ranchi 701277"/>
    <n v="632424154"/>
    <s v="zOtUS1520"/>
    <n v="75"/>
    <x v="1"/>
  </r>
  <r>
    <s v="tanya"/>
    <s v="Dada"/>
    <d v="1978-01-05T00:00:00"/>
    <x v="1"/>
    <n v="1103712938"/>
    <s v="agrawalrasha@yahoo.com"/>
    <s v="27/136_x000a_Setty Zila_x000a_Kota 542622"/>
    <n v="1890927532"/>
    <s v="fgiWh6973"/>
    <n v="50"/>
    <x v="2"/>
  </r>
  <r>
    <s v="mishti"/>
    <s v="Sawhney"/>
    <d v="1982-11-25T00:00:00"/>
    <x v="2"/>
    <n v="6618892414"/>
    <s v="zarabrahmbhatt@gade.com"/>
    <s v="30/316_x000a_Karan Zila, Tirupati 102027"/>
    <n v="5884252410"/>
    <s v="eqTKO5648"/>
    <n v="48"/>
    <x v="2"/>
  </r>
  <r>
    <s v="aaina"/>
    <s v="Chaudhry"/>
    <d v="1992-07-15T00:00:00"/>
    <x v="1"/>
    <n v="3806578759"/>
    <s v="ldeshmukh@gmail.com"/>
    <s v="H.No. 407, Gola Circle, Kozhikode 334803"/>
    <n v="9652239559"/>
    <s v="jKmZF0599"/>
    <n v="43"/>
    <x v="2"/>
  </r>
  <r>
    <s v="gokul"/>
    <s v="Chakrabarti"/>
    <d v="1998-05-27T00:00:00"/>
    <x v="1"/>
    <n v="919690295939"/>
    <s v="vbobal@barad.com"/>
    <s v="57/043, Saraf Ganj_x000a_Etawah-100676"/>
    <n v="2676586179"/>
    <s v="Zcsbu3271"/>
    <n v="33"/>
    <x v="2"/>
  </r>
  <r>
    <s v="ryan"/>
    <s v="Srinivasan"/>
    <d v="1975-11-08T00:00:00"/>
    <x v="0"/>
    <n v="7418625652"/>
    <s v="deepadvika@yahoo.com"/>
    <s v="H.No. 90, Shetty Street, Guwahati 869380"/>
    <n v="6868793741"/>
    <s v="HZKRN6089"/>
    <n v="27"/>
    <x v="3"/>
  </r>
  <r>
    <s v="hunar"/>
    <s v="Bhasin"/>
    <d v="2000-05-01T00:00:00"/>
    <x v="1"/>
    <n v="2233206163"/>
    <s v="samar11@mall-issac.net"/>
    <s v="70/99_x000a_Srinivas Circle, Gorakhpur 229991"/>
    <n v="1914856467"/>
    <s v="lrzjN9970"/>
    <n v="50"/>
    <x v="2"/>
  </r>
  <r>
    <s v="mahika"/>
    <s v="Sangha"/>
    <d v="1996-01-04T00:00:00"/>
    <x v="2"/>
    <n v="653074505"/>
    <s v="ranbir71@gmail.com"/>
    <s v="75/469_x000a_Chandra Zila_x000a_Rajpur Sonarpur-785082"/>
    <n v="1486289023"/>
    <s v="DdxTm3030"/>
    <n v="25"/>
    <x v="3"/>
  </r>
  <r>
    <s v="raghav"/>
    <s v="Gour"/>
    <d v="2004-11-04T00:00:00"/>
    <x v="1"/>
    <n v="8610357972"/>
    <s v="shray24@hotmail.com"/>
    <s v="H.No. 602_x000a_Sridhar_x000a_Korba 346800"/>
    <n v="7229034944"/>
    <s v="qnDtR6657"/>
    <n v="30"/>
    <x v="2"/>
  </r>
  <r>
    <s v="elakshi"/>
    <s v="Tella"/>
    <d v="1991-03-29T00:00:00"/>
    <x v="1"/>
    <n v="9108589944"/>
    <s v="vbalay@reddy-gaba.com"/>
    <s v="283_x000a_Swaminathan Nagar, Imphal 074466"/>
    <n v="6099353875"/>
    <s v="lsgEi8428"/>
    <n v="21"/>
    <x v="3"/>
  </r>
  <r>
    <s v="seher"/>
    <s v="Dayal"/>
    <d v="1998-02-25T00:00:00"/>
    <x v="1"/>
    <n v="2513534655"/>
    <s v="anahi17@gmail.com"/>
    <s v="816_x000a_Dixit Circle_x000a_Meerut 235697"/>
    <n v="2521752500"/>
    <s v="KWkFY7432"/>
    <n v="35"/>
    <x v="2"/>
  </r>
  <r>
    <s v="tarini"/>
    <s v="Sridhar"/>
    <d v="1954-10-18T00:00:00"/>
    <x v="2"/>
    <n v="919666676008"/>
    <s v="abram58@andra.com"/>
    <s v="54/216, Raja Circle_x000a_Rourkela-044789"/>
    <n v="8562575326"/>
    <s v="nUbLG0332"/>
    <n v="28"/>
    <x v="3"/>
  </r>
  <r>
    <s v="jayan"/>
    <s v="Bhatia"/>
    <d v="1973-10-01T00:00:00"/>
    <x v="2"/>
    <n v="648909010"/>
    <s v="joshiahana@bhatia-mahal.com"/>
    <s v="046, Saini Zila, Medininagar-618914"/>
    <n v="1173934835"/>
    <s v="JFnSE6420"/>
    <n v="71"/>
    <x v="1"/>
  </r>
  <r>
    <s v="shalv"/>
    <s v="Dalal"/>
    <d v="1948-12-28T00:00:00"/>
    <x v="2"/>
    <n v="911197218114"/>
    <s v="qdivan@bakshi-bedi.com"/>
    <s v="H.No. 56_x000a_Batta Zila_x000a_Bangalore 255794"/>
    <n v="1552166746"/>
    <s v="iSUdk7621"/>
    <n v="52"/>
    <x v="2"/>
  </r>
  <r>
    <s v="ehsaan"/>
    <s v="Joshi"/>
    <d v="1989-01-02T00:00:00"/>
    <x v="0"/>
    <n v="9729659027"/>
    <s v="walizain@yahoo.com"/>
    <s v="H.No. 50, Sinha Circle_x000a_Sonipat 637562"/>
    <n v="8900287721"/>
    <s v="rdGoJ7535"/>
    <n v="77"/>
    <x v="1"/>
  </r>
  <r>
    <s v="nayantara"/>
    <s v="Gulati"/>
    <d v="1976-03-31T00:00:00"/>
    <x v="2"/>
    <n v="911779717751"/>
    <s v="behlyuvaan@yahoo.com"/>
    <s v="H.No. 994, Mand Circle_x000a_Sirsa 503758"/>
    <n v="9975711305"/>
    <s v="xSgck5488"/>
    <n v="37"/>
    <x v="2"/>
  </r>
  <r>
    <s v="bhamini"/>
    <s v="Boase"/>
    <d v="2004-09-23T00:00:00"/>
    <x v="1"/>
    <n v="6149331637"/>
    <s v="emir60@toor.com"/>
    <s v="98/270_x000a_Shah Circle, Begusarai-978292"/>
    <n v="2169958669"/>
    <s v="sCZii3465"/>
    <n v="50"/>
    <x v="2"/>
  </r>
  <r>
    <s v="zain"/>
    <s v="Ramachandran"/>
    <d v="1996-06-09T00:00:00"/>
    <x v="2"/>
    <n v="8485833394"/>
    <s v="rheasachar@gmail.com"/>
    <s v="H.No. 87, Mangal, Deoghar 608106"/>
    <n v="2003424420"/>
    <s v="wCgNR4380"/>
    <n v="21"/>
    <x v="3"/>
  </r>
  <r>
    <s v="vardaniya"/>
    <s v="Sathe"/>
    <d v="1970-06-08T00:00:00"/>
    <x v="1"/>
    <n v="3281826886"/>
    <s v="madhup35@gole-din.com"/>
    <s v="H.No. 573, Rastogi, Thane-616484"/>
    <n v="858877043"/>
    <s v="kXIIa5811"/>
    <n v="29"/>
    <x v="3"/>
  </r>
  <r>
    <s v="indranil"/>
    <s v="Loke"/>
    <d v="1963-10-07T00:00:00"/>
    <x v="2"/>
    <n v="916842450882"/>
    <s v="agatekaira@hegde.com"/>
    <s v="53/682, Chanda Street, Tadepalligudem 312908"/>
    <n v="7814141397"/>
    <s v="gsNem5523"/>
    <n v="55"/>
    <x v="2"/>
  </r>
  <r>
    <s v="samar"/>
    <s v="Kibe"/>
    <d v="1979-06-21T00:00:00"/>
    <x v="0"/>
    <n v="9492995562"/>
    <s v="nishith36@trivedi-gole.com"/>
    <s v="75_x000a_Kohli Road, Akola 428341"/>
    <n v="1080996930"/>
    <s v="EPXjx8488"/>
    <n v="62"/>
    <x v="1"/>
  </r>
  <r>
    <s v="vihaan"/>
    <s v="Choudhury"/>
    <d v="2001-05-07T00:00:00"/>
    <x v="0"/>
    <n v="4278816580"/>
    <s v="tanyakurian@kapoor.com"/>
    <s v="H.No. 03_x000a_D’Alia Chowk_x000a_Bilaspur-303856"/>
    <n v="7700518449"/>
    <s v="PyxLP8926"/>
    <n v="46"/>
    <x v="2"/>
  </r>
  <r>
    <s v="yuvaan"/>
    <s v="Ram"/>
    <d v="1987-02-27T00:00:00"/>
    <x v="1"/>
    <n v="413797723"/>
    <s v="yashvimanne@gmail.com"/>
    <s v="57/991, Gulati Ganj, Mira-Bhayandar 038862"/>
    <n v="9127990881"/>
    <s v="IaXRP1729"/>
    <n v="24"/>
    <x v="3"/>
  </r>
  <r>
    <s v="adah"/>
    <s v="Lal"/>
    <d v="1977-06-07T00:00:00"/>
    <x v="0"/>
    <n v="863765991"/>
    <s v="onkarkhare@gmail.com"/>
    <s v="86/43_x000a_Savant Nagar_x000a_Gangtok 806356"/>
    <n v="5126944869"/>
    <s v="WnAJY5946"/>
    <n v="39"/>
    <x v="2"/>
  </r>
  <r>
    <s v="ivana"/>
    <s v="Khurana"/>
    <d v="1960-12-19T00:00:00"/>
    <x v="0"/>
    <n v="8874495621"/>
    <s v="ssrinivas@bedi.net"/>
    <s v="90/26_x000a_Suri Nagar, Ulhasnagar-961143"/>
    <n v="5190669849"/>
    <s v="amQZH0277"/>
    <n v="48"/>
    <x v="2"/>
  </r>
  <r>
    <s v="reyansh"/>
    <s v="Chatterjee"/>
    <d v="1951-02-03T00:00:00"/>
    <x v="1"/>
    <n v="8839205302"/>
    <s v="vanya65@hora.com"/>
    <s v="H.No. 848, Ghosh_x000a_Bally 937690"/>
    <n v="4268181845"/>
    <s v="YKqSC1848"/>
    <n v="65"/>
    <x v="1"/>
  </r>
  <r>
    <s v="uthkarsh"/>
    <s v="Manda"/>
    <d v="1981-09-18T00:00:00"/>
    <x v="0"/>
    <n v="915779071416"/>
    <s v="yasmindugar@goda-kuruvilla.net"/>
    <s v="416_x000a_Barad Path_x000a_Fatehpur 539423"/>
    <n v="7333433339"/>
    <s v="fRQFN5211"/>
    <n v="75"/>
    <x v="1"/>
  </r>
  <r>
    <s v="aarna"/>
    <s v="Cheema"/>
    <d v="1977-04-28T00:00:00"/>
    <x v="1"/>
    <n v="5564729293"/>
    <s v="zaina38@varty-halder.com"/>
    <s v="02, Krish Marg_x000a_Hazaribagh-744890"/>
    <n v="6120347175"/>
    <s v="JZqwb4558"/>
    <n v="44"/>
    <x v="2"/>
  </r>
  <r>
    <s v="dhanush"/>
    <s v="Cheema"/>
    <d v="1960-02-29T00:00:00"/>
    <x v="2"/>
    <n v="1117800681"/>
    <s v="miraya21@wali.com"/>
    <s v="22_x000a_Tripathi Circle_x000a_Bhopal-557784"/>
    <n v="8728299796"/>
    <s v="EIoZf8845"/>
    <n v="48"/>
    <x v="2"/>
  </r>
  <r>
    <s v="ahana "/>
    <s v="Dube"/>
    <d v="1973-09-11T00:00:00"/>
    <x v="2"/>
    <n v="4240082547"/>
    <s v="eshroff@agrawal-sinha.biz"/>
    <s v="H.No. 853, Wadhwa Marg, Tenali 266341"/>
    <n v="6389448463"/>
    <s v="hODNC1224"/>
    <n v="66"/>
    <x v="1"/>
  </r>
  <r>
    <s v="purab"/>
    <s v="Sarma"/>
    <d v="1991-03-08T00:00:00"/>
    <x v="2"/>
    <n v="3502080214"/>
    <s v="saanvikanda@hotmail.com"/>
    <s v="H.No. 207, Garg Ganj_x000a_Bijapur 570512"/>
    <n v="461872346"/>
    <s v="XCpVc0136"/>
    <n v="52"/>
    <x v="2"/>
  </r>
  <r>
    <s v="kiaan"/>
    <s v="Karpe"/>
    <d v="1998-11-04T00:00:00"/>
    <x v="0"/>
    <n v="918376452088"/>
    <s v="anya43@wali-bal.com"/>
    <s v="65/024, Bhasin_x000a_Latur 097925"/>
    <n v="1327195005"/>
    <s v="FouJY2812"/>
    <n v="35"/>
    <x v="2"/>
  </r>
  <r>
    <s v="samarth"/>
    <s v="Jayaraman"/>
    <d v="1992-06-01T00:00:00"/>
    <x v="0"/>
    <n v="1181022031"/>
    <s v="divyanshbabu@hotmail.com"/>
    <s v="99/40_x000a_Choudhry Path, Ahmedabad-717058"/>
    <n v="6509480141"/>
    <s v="UoIym3811"/>
    <n v="27"/>
    <x v="3"/>
  </r>
  <r>
    <s v="kartik"/>
    <s v="Lall"/>
    <d v="1993-07-03T00:00:00"/>
    <x v="1"/>
    <n v="919288619576"/>
    <s v="vritikachana@iyer.com"/>
    <s v="H.No. 85_x000a_Jhaveri Path, North Dumdum-983684"/>
    <n v="5776004908"/>
    <s v="onubX2404"/>
    <n v="33"/>
    <x v="2"/>
  </r>
  <r>
    <s v="prisha"/>
    <s v="Tata"/>
    <d v="1967-08-01T00:00:00"/>
    <x v="0"/>
    <n v="8899210752"/>
    <s v="tejas93@dave.com"/>
    <s v="15/727, Tank, Hindupur-096105"/>
    <n v="5661390604"/>
    <s v="KjuGS8058"/>
    <n v="32"/>
    <x v="2"/>
  </r>
  <r>
    <s v="madhup"/>
    <s v="Bose"/>
    <d v="1952-03-29T00:00:00"/>
    <x v="2"/>
    <n v="6799813646"/>
    <s v="shayakbarman@mangal-sharma.com"/>
    <s v="H.No. 686_x000a_Singh Street, Ongole-769389"/>
    <n v="8331465911"/>
    <s v="muwMP6655"/>
    <n v="58"/>
    <x v="2"/>
  </r>
  <r>
    <s v="anay"/>
    <s v="Solanki"/>
    <d v="1969-07-19T00:00:00"/>
    <x v="1"/>
    <n v="915979270335"/>
    <s v="bhallaseher@dara.com"/>
    <s v="H.No. 14, Keer Chowk, Bathinda 833884"/>
    <n v="8792069804"/>
    <s v="YSNrd2043"/>
    <n v="74"/>
    <x v="1"/>
  </r>
  <r>
    <s v="anahita"/>
    <s v="Sagar"/>
    <d v="1949-05-16T00:00:00"/>
    <x v="1"/>
    <n v="916451046368"/>
    <s v="aradhya98@chander.net"/>
    <s v="H.No. 384, Konda Path, Sangli-Miraj &amp; Kupwad-555438"/>
    <n v="4046084325"/>
    <s v="HRNOR6216"/>
    <n v="56"/>
    <x v="2"/>
  </r>
  <r>
    <s v="manikya"/>
    <s v="Joshi"/>
    <d v="1965-02-28T00:00:00"/>
    <x v="1"/>
    <n v="2649578232"/>
    <s v="sahilsankaran@yogi.biz"/>
    <s v="H.No. 18, Sem Circle_x000a_Udaipur-205664"/>
    <n v="7423122099"/>
    <s v="oMooR4999"/>
    <n v="76"/>
    <x v="1"/>
  </r>
  <r>
    <s v="vidur"/>
    <s v="Kuruvilla"/>
    <d v="2000-11-15T00:00:00"/>
    <x v="2"/>
    <n v="347644726"/>
    <s v="santela@gmail.com"/>
    <s v="H.No. 812_x000a_Warrior, Singrauli-570279"/>
    <n v="3714521117"/>
    <s v="UYGNk5186"/>
    <n v="61"/>
    <x v="1"/>
  </r>
  <r>
    <s v="kashvi"/>
    <s v="Ratta"/>
    <d v="1972-11-19T00:00:00"/>
    <x v="1"/>
    <n v="919978772934"/>
    <s v="bhargavaanay@rattan-sunder.com"/>
    <s v="05_x000a_Mammen Path_x000a_Hyderabad-441448"/>
    <n v="8501556990"/>
    <s v="REEZc2355"/>
    <n v="25"/>
    <x v="3"/>
  </r>
  <r>
    <s v="lagan"/>
    <s v="Madan"/>
    <d v="1972-08-23T00:00:00"/>
    <x v="2"/>
    <n v="5424932149"/>
    <s v="ibakshi@gmail.com"/>
    <s v="H.No. 601, Hayre Marg, Kavali-954538"/>
    <n v="1792171747"/>
    <s v="Nqxzl7332"/>
    <n v="53"/>
    <x v="2"/>
  </r>
  <r>
    <s v="rati"/>
    <s v="Salvi"/>
    <d v="1971-04-14T00:00:00"/>
    <x v="1"/>
    <n v="7701715772"/>
    <s v="lavanya92@hotmail.com"/>
    <s v="15/814_x000a_Kashyap Circle_x000a_Gudivada 393827"/>
    <n v="6153966958"/>
    <s v="FhLMD3219"/>
    <n v="53"/>
    <x v="2"/>
  </r>
  <r>
    <s v="shaan"/>
    <s v="Mall"/>
    <d v="1955-06-14T00:00:00"/>
    <x v="0"/>
    <n v="2461919657"/>
    <s v="choprahiran@zacharia.com"/>
    <s v="84, Randhawa Marg_x000a_Thiruvananthapuram-549465"/>
    <n v="1909862405"/>
    <s v="whsbp8008"/>
    <n v="54"/>
    <x v="2"/>
  </r>
  <r>
    <s v="sara"/>
    <s v="Ratta"/>
    <d v="1950-08-30T00:00:00"/>
    <x v="0"/>
    <n v="7128144294"/>
    <s v="abram19@gmail.com"/>
    <s v="H.No. 24_x000a_Kibe Ganj_x000a_Dehri-512927"/>
    <n v="6637239504"/>
    <s v="zEtEV1027"/>
    <n v="70"/>
    <x v="1"/>
  </r>
  <r>
    <s v="suhana"/>
    <s v="Lata"/>
    <d v="1964-09-14T00:00:00"/>
    <x v="2"/>
    <n v="6742860476"/>
    <s v="bavahazel@hotmail.com"/>
    <s v="45/44_x000a_Datta Zila, Surendranagar Dudhrej 938525"/>
    <n v="8001061817"/>
    <s v="mcbNf5344"/>
    <n v="75"/>
    <x v="1"/>
  </r>
  <r>
    <s v="bhavin"/>
    <s v="Rajan"/>
    <d v="1993-06-27T00:00:00"/>
    <x v="1"/>
    <n v="919111926921"/>
    <s v="ritvik71@karan.biz"/>
    <s v="140_x000a_Hari Marg, Allahabad 427173"/>
    <n v="9627128639"/>
    <s v="ceeKU1741"/>
    <n v="61"/>
    <x v="1"/>
  </r>
  <r>
    <s v="ojas"/>
    <s v="Soni"/>
    <d v="1979-02-23T00:00:00"/>
    <x v="2"/>
    <n v="917200642569"/>
    <s v="bkhare@uppal-seth.com"/>
    <s v="71, Loyal_x000a_Thoothukudi-601585"/>
    <n v="1743280634"/>
    <s v="fOCVm6157"/>
    <n v="32"/>
    <x v="2"/>
  </r>
  <r>
    <s v="jivin"/>
    <s v="Sekhon"/>
    <d v="1982-10-27T00:00:00"/>
    <x v="0"/>
    <n v="1456083318"/>
    <s v="tara88@kata.com"/>
    <s v="127, Chakrabarti Chowk, Varanasi 543645"/>
    <n v="9701082207"/>
    <s v="UCLLu8113"/>
    <n v="47"/>
    <x v="2"/>
  </r>
  <r>
    <s v="kabir"/>
    <s v="Subramanian"/>
    <d v="1974-01-04T00:00:00"/>
    <x v="2"/>
    <n v="7016580464"/>
    <s v="raoshamik@bala.com"/>
    <s v="57, Bahri_x000a_Ambarnath 818325"/>
    <n v="3817933554"/>
    <s v="exwCF8640"/>
    <n v="43"/>
    <x v="2"/>
  </r>
  <r>
    <s v="damini"/>
    <s v="Lall"/>
    <d v="2005-04-03T00:00:00"/>
    <x v="0"/>
    <n v="917884795137"/>
    <s v="hayrejayesh@barad-bhagat.com"/>
    <s v="27/238, Din Nagar, Hosur 756704"/>
    <n v="3103856955"/>
    <s v="CDtKi7988"/>
    <n v="52"/>
    <x v="2"/>
  </r>
  <r>
    <s v="madhav"/>
    <s v="Seth"/>
    <d v="1979-01-13T00:00:00"/>
    <x v="0"/>
    <n v="6742662991"/>
    <s v="romilkhanna@ganesh.biz"/>
    <s v="46, Mall Street_x000a_Tezpur 326487"/>
    <n v="494787300"/>
    <s v="hPQsA2447"/>
    <n v="21"/>
    <x v="3"/>
  </r>
  <r>
    <s v="jayesh"/>
    <s v="Korpal"/>
    <d v="1995-08-12T00:00:00"/>
    <x v="2"/>
    <n v="3014719597"/>
    <s v="mishti71@yahoo.com"/>
    <s v="902_x000a_Kashyap Path_x000a_Raurkela Industrial Township 045650"/>
    <n v="4481832192"/>
    <s v="rRSSx8554"/>
    <n v="47"/>
    <x v="2"/>
  </r>
  <r>
    <s v="divit"/>
    <s v="Loke"/>
    <d v="1988-04-11T00:00:00"/>
    <x v="2"/>
    <n v="2028457652"/>
    <s v="indranskrishnamurthy@thakur.net"/>
    <s v="11_x000a_Anand Street_x000a_Karnal 527985"/>
    <n v="2401322342"/>
    <s v="SWYhe3216"/>
    <n v="30"/>
    <x v="2"/>
  </r>
  <r>
    <s v="advik"/>
    <s v="Soman"/>
    <d v="1981-10-04T00:00:00"/>
    <x v="1"/>
    <n v="310890714"/>
    <s v="doranitya@shroff.com"/>
    <s v="501, Vaidya Street_x000a_Adoni-528938"/>
    <n v="9119083342"/>
    <s v="GTExS8013"/>
    <n v="38"/>
    <x v="2"/>
  </r>
  <r>
    <s v="raunak"/>
    <s v="Dyal"/>
    <d v="1952-12-25T00:00:00"/>
    <x v="1"/>
    <n v="919025590561"/>
    <s v="taimur65@gmail.com"/>
    <s v="491, Vig Zila_x000a_Raipur-208507"/>
    <n v="6986407905"/>
    <s v="KgZFg6965"/>
    <n v="44"/>
    <x v="2"/>
  </r>
  <r>
    <s v="saanvi"/>
    <s v="Lall"/>
    <d v="1978-06-01T00:00:00"/>
    <x v="0"/>
    <n v="7133344762"/>
    <s v="kismatchokshi@yahoo.com"/>
    <s v="620_x000a_Deep Road_x000a_Tadipatri-359710"/>
    <n v="7256366941"/>
    <s v="vpEwM1800"/>
    <n v="73"/>
    <x v="1"/>
  </r>
  <r>
    <s v="anaya"/>
    <s v="De"/>
    <d v="1959-12-08T00:00:00"/>
    <x v="0"/>
    <n v="7617075877"/>
    <s v="vaidyasaira@gmail.com"/>
    <s v="H.No. 342_x000a_Shere Street_x000a_Phusro 908926"/>
    <n v="1371504165"/>
    <s v="bfDTQ9152"/>
    <n v="47"/>
    <x v="2"/>
  </r>
  <r>
    <s v="anvi"/>
    <s v="Karan"/>
    <d v="1991-07-25T00:00:00"/>
    <x v="1"/>
    <n v="9050975923"/>
    <s v="samarth01@ramachandran.biz"/>
    <s v="610, Bumb Ganj, Sambhal 214764"/>
    <n v="9251583776"/>
    <s v="BfWBZ7499"/>
    <n v="66"/>
    <x v="1"/>
  </r>
  <r>
    <s v="tushar"/>
    <s v="Rana"/>
    <d v="1961-06-26T00:00:00"/>
    <x v="2"/>
    <n v="6108573278"/>
    <s v="anahita61@doctor-borde.com"/>
    <s v="64/90, Barad Circle, Anand 866179"/>
    <n v="4549180172"/>
    <s v="ATtuL2601"/>
    <n v="34"/>
    <x v="2"/>
  </r>
  <r>
    <s v="samaira"/>
    <s v="Karan"/>
    <d v="2000-05-05T00:00:00"/>
    <x v="2"/>
    <n v="7945232194"/>
    <s v="bloke@hora.com"/>
    <s v="69_x000a_Doshi Chowk_x000a_Tenali-122031"/>
    <n v="303723683"/>
    <s v="EBbhk1472"/>
    <n v="64"/>
    <x v="1"/>
  </r>
  <r>
    <s v="drishya"/>
    <s v="Ramakrishnan"/>
    <d v="1994-05-13T00:00:00"/>
    <x v="0"/>
    <n v="910771199180"/>
    <s v="mohanlalbhargava@golla.com"/>
    <s v="12/552_x000a_Vala Zila, Bahraich-037548"/>
    <n v="2145653286"/>
    <s v="ADHYR3266"/>
    <n v="25"/>
    <x v="3"/>
  </r>
  <r>
    <s v="taran"/>
    <s v="Aurora"/>
    <d v="1978-12-03T00:00:00"/>
    <x v="2"/>
    <n v="910811556260"/>
    <s v="sahotanayantara@gmail.com"/>
    <s v="68_x000a_Sen Road_x000a_Hapur 489267"/>
    <n v="3899756341"/>
    <s v="UUViH0856"/>
    <n v="31"/>
    <x v="2"/>
  </r>
  <r>
    <s v="umang"/>
    <s v="Doshi"/>
    <d v="1968-10-22T00:00:00"/>
    <x v="0"/>
    <n v="229604432"/>
    <s v="bhatira@yahoo.com"/>
    <s v="79, Mandal Road_x000a_Naihati 792287"/>
    <n v="7725199663"/>
    <s v="QCVrP6580"/>
    <n v="47"/>
    <x v="2"/>
  </r>
  <r>
    <s v="dhruv"/>
    <s v="Verma"/>
    <d v="1960-01-28T00:00:00"/>
    <x v="0"/>
    <n v="948181398"/>
    <s v="suhanakhanna@yadav.net"/>
    <s v="H.No. 33, Kapadia_x000a_Deoghar-690705"/>
    <n v="6260856411"/>
    <s v="jlqXf1824"/>
    <n v="57"/>
    <x v="2"/>
  </r>
  <r>
    <s v="myra"/>
    <s v="Krishna"/>
    <d v="1962-08-25T00:00:00"/>
    <x v="0"/>
    <n v="915823868700"/>
    <s v="neysa20@gmail.com"/>
    <s v="46/53_x000a_Trivedi, Ranchi-891416"/>
    <n v="1284639855"/>
    <s v="QuvnD4743"/>
    <n v="66"/>
    <x v="1"/>
  </r>
  <r>
    <s v="zara"/>
    <s v="Arora"/>
    <d v="1998-12-27T00:00:00"/>
    <x v="0"/>
    <n v="916133254110"/>
    <s v="bswamy@hotmail.com"/>
    <s v="173_x000a_Thaman Path, Thoothukudi 199717"/>
    <n v="9110065120"/>
    <s v="OBegR7049"/>
    <n v="63"/>
    <x v="1"/>
  </r>
  <r>
    <s v="himmat"/>
    <s v="Sheth"/>
    <d v="1954-07-10T00:00:00"/>
    <x v="1"/>
    <n v="7853907895"/>
    <s v="bkaur@yahoo.com"/>
    <s v="H.No. 46_x000a_Chakraborty Nagar, Muzaffarpur 151488"/>
    <n v="8143111508"/>
    <s v="qtVXR3535"/>
    <n v="27"/>
    <x v="3"/>
  </r>
  <r>
    <s v="ishaan"/>
    <s v="Chada"/>
    <d v="2005-11-11T00:00:00"/>
    <x v="2"/>
    <n v="919124186210"/>
    <s v="advikagola@gmail.com"/>
    <s v="83/708, Hayer Zila_x000a_Raiganj-900633"/>
    <n v="5331060053"/>
    <s v="UkcAG1312"/>
    <n v="71"/>
    <x v="1"/>
  </r>
  <r>
    <s v="emir"/>
    <s v="Tandon"/>
    <d v="1971-01-25T00:00:00"/>
    <x v="0"/>
    <n v="8393866133"/>
    <s v="samarth20@sachdeva-dugar.com"/>
    <s v="31, Sachar Road, Varanasi-364971"/>
    <n v="8924195625"/>
    <s v="vbMLC2571"/>
    <n v="20"/>
    <x v="3"/>
  </r>
  <r>
    <s v="vaibhav"/>
    <s v="Kumer"/>
    <d v="1992-05-24T00:00:00"/>
    <x v="1"/>
    <n v="3890309143"/>
    <s v="mirayabaral@gmail.com"/>
    <s v="43_x000a_Guha Street_x000a_Agra-975245"/>
    <n v="864035533"/>
    <s v="MyHul8033"/>
    <n v="55"/>
    <x v="2"/>
  </r>
  <r>
    <s v="ishita"/>
    <s v="Seth"/>
    <d v="1960-10-05T00:00:00"/>
    <x v="1"/>
    <n v="6747468971"/>
    <s v="saanvikeer@gmail.com"/>
    <s v="H.No. 085, Jain Chowk_x000a_Tenali-674916"/>
    <n v="169236458"/>
    <s v="BVppE7506"/>
    <n v="33"/>
    <x v="2"/>
  </r>
  <r>
    <s v="arhaan"/>
    <s v="Talwar"/>
    <d v="1973-05-26T00:00:00"/>
    <x v="0"/>
    <n v="249724399"/>
    <s v="bhardwajtrisha@rout.biz"/>
    <s v="36/26, Saraf Road, Orai-946119"/>
    <n v="5243640270"/>
    <s v="APsUB1168"/>
    <n v="65"/>
    <x v="1"/>
  </r>
  <r>
    <s v="shayak"/>
    <s v="Goyal"/>
    <d v="1995-03-16T00:00:00"/>
    <x v="0"/>
    <n v="5356690551"/>
    <s v="svirk@seshadri-tiwari.com"/>
    <s v="43/57, Sankar_x000a_Kottayam 305050"/>
    <n v="5739769156"/>
    <s v="MmTjH7164"/>
    <n v="52"/>
    <x v="2"/>
  </r>
  <r>
    <s v="kaira"/>
    <s v="Srinivasan"/>
    <d v="1997-07-28T00:00:00"/>
    <x v="0"/>
    <n v="271487271"/>
    <s v="nirvaancherian@gmail.com"/>
    <s v="02, Zacharia Path_x000a_Parbhani 471287"/>
    <n v="1539915668"/>
    <s v="hsfhf6334"/>
    <n v="31"/>
    <x v="2"/>
  </r>
  <r>
    <s v="baiju"/>
    <s v="Bhargava"/>
    <d v="1983-11-18T00:00:00"/>
    <x v="1"/>
    <n v="5962630136"/>
    <s v="prisha92@hotmail.com"/>
    <s v="64, Gour Chowk, Jamshedpur-117830"/>
    <n v="9997419267"/>
    <s v="gueTY6492"/>
    <n v="28"/>
    <x v="3"/>
  </r>
  <r>
    <s v="divij"/>
    <s v="Venkatesh"/>
    <d v="1952-04-09T00:00:00"/>
    <x v="2"/>
    <n v="6843356708"/>
    <s v="doshifaiyaz@yahoo.com"/>
    <s v="H.No. 63_x000a_Wason Path, South Dumdum 005347"/>
    <n v="4916247554"/>
    <s v="XivxV1108"/>
    <n v="42"/>
    <x v="2"/>
  </r>
  <r>
    <s v="zoya"/>
    <s v="Golla"/>
    <d v="1999-05-12T00:00:00"/>
    <x v="1"/>
    <n v="8953439611"/>
    <s v="bailkhushi@taneja.info"/>
    <s v="95/47, Loke Ganj_x000a_Varanasi 368485"/>
    <n v="5716176880"/>
    <s v="scKdY2942"/>
    <n v="74"/>
    <x v="1"/>
  </r>
  <r>
    <s v="rania"/>
    <s v="Chandran"/>
    <d v="1999-03-18T00:00:00"/>
    <x v="1"/>
    <n v="7881278686"/>
    <s v="lagan20@gmail.com"/>
    <s v="78/84, Varkey Road_x000a_Sagar-812308"/>
    <n v="3402424033"/>
    <s v="OMxuf8105"/>
    <n v="26"/>
    <x v="3"/>
  </r>
  <r>
    <s v="rasha"/>
    <s v="Sarraf"/>
    <d v="1958-07-17T00:00:00"/>
    <x v="1"/>
    <n v="650191792"/>
    <s v="tejasbobal@das.com"/>
    <s v="728, Keer Road, Naihati-041200"/>
    <n v="9282066784"/>
    <s v="BkrfH9843"/>
    <n v="27"/>
    <x v="3"/>
  </r>
  <r>
    <s v="anika"/>
    <s v="Chhabra"/>
    <d v="1952-06-26T00:00:00"/>
    <x v="2"/>
    <n v="910644212146"/>
    <s v="riya76@chhabra.com"/>
    <s v="H.No. 654, Chaudhary Street_x000a_Gurgaon-782659"/>
    <n v="6089319925"/>
    <s v="jFuhY5027"/>
    <n v="67"/>
    <x v="1"/>
  </r>
  <r>
    <s v="azad"/>
    <s v="Tank"/>
    <d v="1949-12-27T00:00:00"/>
    <x v="2"/>
    <n v="4388221145"/>
    <s v="wshah@hotmail.com"/>
    <s v="H.No. 57_x000a_Thaker Nagar, Barasat 897148"/>
    <n v="263257039"/>
    <s v="myOgr6531"/>
    <n v="73"/>
    <x v="1"/>
  </r>
  <r>
    <s v="badal"/>
    <s v="Dass"/>
    <d v="1958-03-06T00:00:00"/>
    <x v="0"/>
    <n v="4882142369"/>
    <s v="madhup07@dash-tak.biz"/>
    <s v="H.No. 449_x000a_Chadha Road, North Dumdum-342683"/>
    <n v="4414978266"/>
    <s v="SuGRT1287"/>
    <n v="76"/>
    <x v="1"/>
  </r>
  <r>
    <s v="taimur"/>
    <s v="Kaur"/>
    <d v="1972-11-27T00:00:00"/>
    <x v="0"/>
    <n v="7667080612"/>
    <s v="kavyakunda@yahoo.com"/>
    <s v="H.No. 626_x000a_Kashyap Nagar_x000a_Meerut-041591"/>
    <n v="4975019803"/>
    <s v="ioROj8287"/>
    <n v="68"/>
    <x v="1"/>
  </r>
  <r>
    <s v="veer"/>
    <s v="Sarkar"/>
    <d v="2003-03-27T00:00:00"/>
    <x v="1"/>
    <n v="917662047196"/>
    <s v="arhaan97@goel.info"/>
    <s v="H.No. 258_x000a_Cheema Circle, Loni-812259"/>
    <n v="5724461767"/>
    <s v="XQHqi9298"/>
    <n v="53"/>
    <x v="2"/>
  </r>
  <r>
    <s v="nirvaan"/>
    <s v="Dhingra"/>
    <d v="1957-08-19T00:00:00"/>
    <x v="0"/>
    <n v="6711148375"/>
    <s v="tsaxena@sridhar-majumdar.com"/>
    <s v="H.No. 88_x000a_Bala Zila_x000a_Bulandshahr-413283"/>
    <n v="4831520377"/>
    <s v="rrLyt1070"/>
    <n v="23"/>
    <x v="3"/>
  </r>
  <r>
    <s v="dharmajan"/>
    <s v="Balan"/>
    <d v="1967-10-18T00:00:00"/>
    <x v="2"/>
    <n v="6706670336"/>
    <s v="dlata@dua.com"/>
    <s v="H.No. 93_x000a_Garde Nagar_x000a_Purnia 186487"/>
    <n v="6998426732"/>
    <s v="pXIsv0441"/>
    <n v="68"/>
    <x v="1"/>
  </r>
  <r>
    <s v="dishani"/>
    <s v="Vasa"/>
    <d v="1978-10-07T00:00:00"/>
    <x v="0"/>
    <n v="5083044058"/>
    <s v="stuvanbhagat@kulkarni.com"/>
    <s v="595, Banik Marg_x000a_Ichalkaranji 059556"/>
    <n v="5749025042"/>
    <s v="nZuGT9019"/>
    <n v="58"/>
    <x v="2"/>
  </r>
  <r>
    <s v="vanya"/>
    <s v="Shanker"/>
    <d v="1983-05-21T00:00:00"/>
    <x v="2"/>
    <n v="5369026113"/>
    <s v="vaidyaeva@gmail.com"/>
    <s v="H.No. 43_x000a_Din, Ozhukarai-537513"/>
    <n v="7651588157"/>
    <s v="oKiIp9376"/>
    <n v="47"/>
    <x v="2"/>
  </r>
  <r>
    <s v="urvi"/>
    <s v="Jani"/>
    <d v="1994-09-04T00:00:00"/>
    <x v="1"/>
    <n v="2944551166"/>
    <s v="xraval@yogi.info"/>
    <s v="H.No. 648, Sharaf Chowk_x000a_Cuttack 602128"/>
    <n v="8665268341"/>
    <s v="NgUce5599"/>
    <n v="42"/>
    <x v="2"/>
  </r>
  <r>
    <s v="mehul"/>
    <s v="Singh"/>
    <d v="1983-04-21T00:00:00"/>
    <x v="1"/>
    <n v="916649690282"/>
    <s v="jiyasheth@gmail.com"/>
    <s v="H.No. 142_x000a_Karnik Path_x000a_Dehradun-023244"/>
    <n v="1233613285"/>
    <s v="gEJRz0725"/>
    <n v="31"/>
    <x v="2"/>
  </r>
  <r>
    <s v="kavya"/>
    <s v="Sachdeva"/>
    <d v="1977-04-03T00:00:00"/>
    <x v="1"/>
    <n v="6309329981"/>
    <s v="gabamanjari@gmail.com"/>
    <s v="15/096_x000a_Kumer Circle_x000a_Nanded-532735"/>
    <n v="2410397739"/>
    <s v="GPhZM7327"/>
    <n v="42"/>
    <x v="2"/>
  </r>
  <r>
    <s v="arnav"/>
    <s v="Ramanathan"/>
    <d v="1966-11-21T00:00:00"/>
    <x v="1"/>
    <n v="4131284033"/>
    <s v="gkata@wadhwa.com"/>
    <s v="17, Khanna Zila_x000a_Salem 974909"/>
    <n v="6173997046"/>
    <s v="vGEGs9472"/>
    <n v="49"/>
    <x v="2"/>
  </r>
  <r>
    <s v="vedika"/>
    <s v="Joshi"/>
    <d v="2001-11-12T00:00:00"/>
    <x v="1"/>
    <n v="4347452455"/>
    <s v="bdube@hotmail.com"/>
    <s v="H.No. 606_x000a_Roy Path, Sirsa-033445"/>
    <n v="566588339"/>
    <s v="epkuU8741"/>
    <n v="59"/>
    <x v="2"/>
  </r>
  <r>
    <s v="lakshay"/>
    <s v="Gupta"/>
    <d v="1952-02-26T00:00:00"/>
    <x v="2"/>
    <n v="7633691128"/>
    <s v="tanyacheema@konda.org"/>
    <s v="33_x000a_Sura Zila, Morena 817006"/>
    <n v="6615541643"/>
    <s v="rUPuc1670"/>
    <n v="24"/>
    <x v="3"/>
  </r>
  <r>
    <s v="kiara"/>
    <s v="Tripathi"/>
    <d v="2002-10-23T00:00:00"/>
    <x v="0"/>
    <n v="1911359966"/>
    <s v="neelofar77@venkatesh.biz"/>
    <s v="920, Bawa Path, Haridwar-745553"/>
    <n v="4705742388"/>
    <s v="FfvwN5652"/>
    <n v="74"/>
    <x v="1"/>
  </r>
  <r>
    <s v="rhea"/>
    <s v="Khanna"/>
    <d v="1985-03-27T00:00:00"/>
    <x v="2"/>
    <n v="1935837490"/>
    <s v="lkothari@yahoo.com"/>
    <s v="H.No. 878, Wason Nagar_x000a_Morena 151494"/>
    <n v="976263748"/>
    <s v="ZGAjX4539"/>
    <n v="23"/>
    <x v="3"/>
  </r>
  <r>
    <s v="trisha"/>
    <s v="Dhawan"/>
    <d v="2001-04-05T00:00:00"/>
    <x v="1"/>
    <n v="803149982"/>
    <s v="lokeaniruddh@gmail.com"/>
    <s v="580_x000a_Shankar Marg, Danapur 031723"/>
    <n v="5137399006"/>
    <s v="pQvly3140"/>
    <n v="41"/>
    <x v="2"/>
  </r>
  <r>
    <s v="ira"/>
    <s v="Dutt"/>
    <d v="1952-08-30T00:00:00"/>
    <x v="0"/>
    <n v="911688092550"/>
    <s v="sanimehul@halder.org"/>
    <s v="13/09_x000a_Bansal Circle_x000a_Fatehpur 496737"/>
    <n v="9457727853"/>
    <s v="qkxVb2426"/>
    <n v="25"/>
    <x v="3"/>
  </r>
  <r>
    <s v="faiyaz"/>
    <s v="Subramanian"/>
    <d v="1994-04-28T00:00:00"/>
    <x v="0"/>
    <n v="915415970996"/>
    <s v="ojas38@lad-zacharia.com"/>
    <s v="034_x000a_Kapur Road, Naihati-471580"/>
    <n v="2909046376"/>
    <s v="vxZGY6046"/>
    <n v="73"/>
    <x v="1"/>
  </r>
  <r>
    <s v="jayant"/>
    <s v="Borra"/>
    <d v="1989-02-25T00:00:00"/>
    <x v="1"/>
    <n v="913106724530"/>
    <s v="tbuch@hotmail.com"/>
    <s v="797, Kalla Marg, Morbi 511579"/>
    <n v="4238736704"/>
    <s v="BNhMi2549"/>
    <n v="31"/>
    <x v="2"/>
  </r>
  <r>
    <s v="eva"/>
    <s v="Dhaliwal"/>
    <d v="1972-01-07T00:00:00"/>
    <x v="1"/>
    <n v="5259710756"/>
    <s v="shaansankaran@viswanathan.info"/>
    <s v="53/25_x000a_Contractor, Kulti 970581"/>
    <n v="6295187794"/>
    <s v="YXrTj1763"/>
    <n v="37"/>
    <x v="2"/>
  </r>
  <r>
    <s v="tejas"/>
    <s v="Vala"/>
    <d v="2001-09-24T00:00:00"/>
    <x v="0"/>
    <n v="917330559782"/>
    <s v="aradhya59@hotmail.com"/>
    <s v="91/40, Lala Ganj_x000a_Kulti-604432"/>
    <n v="4006157276"/>
    <s v="WugrD8297"/>
    <n v="54"/>
    <x v="2"/>
  </r>
  <r>
    <s v="farhan"/>
    <s v="Gaba"/>
    <d v="1998-08-10T00:00:00"/>
    <x v="1"/>
    <n v="8686395613"/>
    <s v="raniawason@gmail.com"/>
    <s v="21, Dara Road_x000a_Avadi 813000"/>
    <n v="4132114716"/>
    <s v="tvyxn5609"/>
    <n v="24"/>
    <x v="3"/>
  </r>
  <r>
    <s v="lavanya"/>
    <s v="Manda"/>
    <d v="1950-06-01T00:00:00"/>
    <x v="0"/>
    <n v="7560858167"/>
    <s v="adira86@bali.com"/>
    <s v="83_x000a_Bhasin Street, Nanded 923785"/>
    <n v="8471296180"/>
    <s v="iVSza3324"/>
    <n v="27"/>
    <x v="3"/>
  </r>
  <r>
    <s v="alisha"/>
    <s v="Raman"/>
    <d v="2005-09-20T00:00:00"/>
    <x v="1"/>
    <n v="912798623984"/>
    <s v="kalitakismat@gmail.com"/>
    <s v="12/05, Hegde Road, Madhyamgram-489547"/>
    <n v="8769899927"/>
    <s v="IHNOe5175"/>
    <n v="75"/>
    <x v="1"/>
  </r>
  <r>
    <s v="adira"/>
    <s v="Sengupta"/>
    <d v="1979-02-09T00:00:00"/>
    <x v="1"/>
    <n v="1645345472"/>
    <s v="keyaroy@ram.com"/>
    <s v="H.No. 03_x000a_Sathe Zila_x000a_Tiruchirappalli 418472"/>
    <n v="4264236428"/>
    <s v="dKPYY1319"/>
    <n v="20"/>
    <x v="3"/>
  </r>
  <r>
    <s v="manjari"/>
    <s v="Karpe"/>
    <d v="1972-05-30T00:00:00"/>
    <x v="2"/>
    <n v="5450891776"/>
    <s v="boseuthkarsh@sahota-saxena.info"/>
    <s v="319, Devi Marg, Muzaffarnagar 040236"/>
    <n v="9362689430"/>
    <s v="UEYeo1204"/>
    <n v="47"/>
    <x v="2"/>
  </r>
  <r>
    <s v="jhanvi"/>
    <s v="Sinha"/>
    <d v="1956-09-24T00:00:00"/>
    <x v="2"/>
    <n v="2778851905"/>
    <s v="heer64@varughese.com"/>
    <s v="46/245, Barad Marg, Aurangabad 446004"/>
    <n v="5212899151"/>
    <s v="hlKnL1455"/>
    <n v="53"/>
    <x v="2"/>
  </r>
  <r>
    <s v="yasmin"/>
    <s v="Baral"/>
    <d v="1964-07-23T00:00:00"/>
    <x v="2"/>
    <n v="914488189848"/>
    <s v="wasonyuvaan@gmail.com"/>
    <s v="H.No. 540_x000a_Banerjee Street, Giridih 170756"/>
    <n v="8142983152"/>
    <s v="EnUTi2910"/>
    <n v="69"/>
    <x v="1"/>
  </r>
  <r>
    <s v="vivaan"/>
    <s v="Bhavsar"/>
    <d v="1963-08-25T00:00:00"/>
    <x v="0"/>
    <n v="1903106153"/>
    <s v="hunarsengupta@hotmail.com"/>
    <s v="H.No. 66_x000a_Sangha Circle_x000a_Raiganj 236533"/>
    <n v="7746040672"/>
    <s v="snAhs0078"/>
    <n v="61"/>
    <x v="1"/>
  </r>
  <r>
    <s v="indrajit"/>
    <s v="Sur"/>
    <d v="1967-02-20T00:00:00"/>
    <x v="2"/>
    <n v="3550542960"/>
    <s v="abala@dara.org"/>
    <s v="H.No. 982_x000a_Bali Street, Agartala-164818"/>
    <n v="8044287738"/>
    <s v="Pezrp3638"/>
    <n v="62"/>
    <x v="1"/>
  </r>
  <r>
    <s v="parinaaz"/>
    <s v="Chaudhary"/>
    <d v="1982-04-29T00:00:00"/>
    <x v="0"/>
    <n v="912653060119"/>
    <s v="vidur17@hotmail.com"/>
    <s v="H.No. 230, Raj Nagar, Thanjavur-182980"/>
    <n v="3657744916"/>
    <s v="xNYwi0936"/>
    <n v="59"/>
    <x v="2"/>
  </r>
  <r>
    <s v="mohanlal"/>
    <s v="Gara"/>
    <d v="1998-09-05T00:00:00"/>
    <x v="1"/>
    <n v="6559428249"/>
    <s v="takrania@ganesan-arya.com"/>
    <s v="H.No. 245, Raj Ganj_x000a_Srinagar 215513"/>
    <n v="557083682"/>
    <s v="HHNyy1444"/>
    <n v="43"/>
    <x v="2"/>
  </r>
  <r>
    <s v="ritvik"/>
    <s v="Guha"/>
    <d v="1974-04-29T00:00:00"/>
    <x v="0"/>
    <n v="4896676056"/>
    <s v="abramtank@yahoo.com"/>
    <s v="H.No. 77_x000a_Luthra Path, Aurangabad 453389"/>
    <n v="623546622"/>
    <s v="gzOvM6540"/>
    <n v="27"/>
    <x v="3"/>
  </r>
  <r>
    <s v="eshani"/>
    <s v="Srivastava"/>
    <d v="1957-04-11T00:00:00"/>
    <x v="0"/>
    <n v="9705916118"/>
    <s v="heergrewal@yahoo.com"/>
    <s v="77/21_x000a_Mall Marg_x000a_Dhanbad 378931"/>
    <n v="8692897284"/>
    <s v="GikUW5401"/>
    <n v="51"/>
    <x v="2"/>
  </r>
  <r>
    <s v="yuvraj "/>
    <s v="Date"/>
    <d v="1975-09-29T00:00:00"/>
    <x v="1"/>
    <n v="910059377756"/>
    <s v="hanshsodhi@sani.com"/>
    <s v="17/469_x000a_Vasa Nagar_x000a_Ballia 104384"/>
    <n v="1966229131"/>
    <s v="dxzJx6708"/>
    <n v="69"/>
    <x v="1"/>
  </r>
  <r>
    <s v="anya"/>
    <s v="Varty"/>
    <d v="1995-03-30T00:00:00"/>
    <x v="1"/>
    <n v="912142573160"/>
    <s v="kairasaraf@gmail.com"/>
    <s v="17/20_x000a_Bhat Ganj_x000a_Burhanpur-528620"/>
    <n v="9297352595"/>
    <s v="jOSXC3322"/>
    <n v="50"/>
    <x v="2"/>
  </r>
  <r>
    <s v="advika"/>
    <s v="Sachdev"/>
    <d v="1975-04-21T00:00:00"/>
    <x v="2"/>
    <n v="759889786"/>
    <s v="navyachawla@hotmail.com"/>
    <s v="H.No. 916, Dubey Path, Ludhiana 231202"/>
    <n v="1915057644"/>
    <s v="aTdai9747"/>
    <n v="31"/>
    <x v="2"/>
  </r>
  <r>
    <s v="abram"/>
    <s v="Gala"/>
    <d v="1999-11-19T00:00:00"/>
    <x v="1"/>
    <n v="8445143672"/>
    <s v="barmanjivin@hotmail.com"/>
    <s v="885, Vala Marg_x000a_Jodhpur-978145"/>
    <n v="9009921779"/>
    <s v="JBBLn0552"/>
    <n v="50"/>
    <x v="2"/>
  </r>
  <r>
    <s v="darshit"/>
    <s v="Zachariah"/>
    <d v="1972-02-29T00:00:00"/>
    <x v="2"/>
    <n v="8736627135"/>
    <s v="lakshaygoda@gmail.com"/>
    <s v="58/561, Ravel Path_x000a_Hospet 156639"/>
    <n v="7925511643"/>
    <s v="GpEFl6902"/>
    <n v="26"/>
    <x v="3"/>
  </r>
  <r>
    <s v="tara"/>
    <s v="Dey"/>
    <d v="1953-04-25T00:00:00"/>
    <x v="2"/>
    <n v="910794193245"/>
    <s v="balanmisha@saxena-randhawa.com"/>
    <s v="487, Raj Nagar_x000a_Saharanpur 496322"/>
    <n v="5174224043"/>
    <s v="INdcm2611"/>
    <n v="54"/>
    <x v="2"/>
  </r>
  <r>
    <s v="neysa"/>
    <s v="Kara"/>
    <d v="1960-06-26T00:00:00"/>
    <x v="2"/>
    <n v="911138690871"/>
    <s v="lbobal@gmail.com"/>
    <s v="H.No. 46_x000a_Kota Zila_x000a_Jehanabad 817074"/>
    <n v="4360234422"/>
    <s v="ajvln5216"/>
    <n v="72"/>
    <x v="1"/>
  </r>
  <r>
    <s v="priyansh"/>
    <s v="Kumer"/>
    <d v="1978-07-18T00:00:00"/>
    <x v="1"/>
    <n v="7082139865"/>
    <s v="jchander@hotmail.com"/>
    <s v="H.No. 237, Verma Street_x000a_Secunderabad 033000"/>
    <n v="886346739"/>
    <s v="HHKXX1900"/>
    <n v="65"/>
    <x v="1"/>
  </r>
  <r>
    <s v="gatik"/>
    <s v="Golla"/>
    <d v="1974-12-15T00:00:00"/>
    <x v="0"/>
    <n v="7837031754"/>
    <s v="sonikabir@divan-tara.com"/>
    <s v="72/602_x000a_Chadha, Rampur 862728"/>
    <n v="8407664207"/>
    <s v="eTnvn6327"/>
    <n v="47"/>
    <x v="2"/>
  </r>
  <r>
    <s v="charvi"/>
    <s v="Savant"/>
    <d v="1971-11-15T00:00:00"/>
    <x v="2"/>
    <n v="4261903842"/>
    <s v="zcheema@toor.com"/>
    <s v="22/271, Sidhu Zila_x000a_Madhyamgram-769171"/>
    <n v="6204298514"/>
    <s v="Jocxl4869"/>
    <n v="51"/>
    <x v="2"/>
  </r>
  <r>
    <s v="zaina"/>
    <s v="Dada"/>
    <d v="1980-05-10T00:00:00"/>
    <x v="2"/>
    <n v="917086494269"/>
    <s v="aniruddhchauhan@hotmail.com"/>
    <s v="35/490, Dhaliwal Zila_x000a_Buxar-706921"/>
    <n v="9587305498"/>
    <s v="GVXrQ2438"/>
    <n v="54"/>
    <x v="2"/>
  </r>
  <r>
    <s v="devansh"/>
    <s v="Srivastava"/>
    <d v="1980-11-14T00:00:00"/>
    <x v="2"/>
    <n v="851732895"/>
    <s v="sumer63@badami-ramakrishnan.com"/>
    <s v="H.No. 58, Sethi Zila, Pondicherry 449653"/>
    <n v="9160770040"/>
    <s v="uthIr9304"/>
    <n v="45"/>
    <x v="2"/>
  </r>
  <r>
    <s v="aradhya"/>
    <s v="Bail"/>
    <d v="1983-03-18T00:00:00"/>
    <x v="2"/>
    <n v="9870920199"/>
    <s v="madhup11@sangha.biz"/>
    <s v="H.No. 584, Gara Circle, Tiruvottiyur-632119"/>
    <n v="6047220539"/>
    <s v="rxTrs7077"/>
    <n v="45"/>
    <x v="2"/>
  </r>
  <r>
    <s v="alia"/>
    <s v="Ganguly"/>
    <d v="1984-04-05T00:00:00"/>
    <x v="2"/>
    <n v="8240516654"/>
    <s v="bosejayant@yahoo.com"/>
    <s v="H.No. 899_x000a_Divan Chowk, Asansol 386860"/>
    <n v="8357017036"/>
    <s v="ZrjnG3094"/>
    <n v="43"/>
    <x v="2"/>
  </r>
  <r>
    <s v="piya"/>
    <s v="Lal"/>
    <d v="1997-11-29T00:00:00"/>
    <x v="1"/>
    <n v="913088295868"/>
    <s v="mangalaaina@gmail.com"/>
    <s v="605, Guha Circle_x000a_Dehradun-674831"/>
    <n v="7306629315"/>
    <s v="IGjsX1817"/>
    <n v="42"/>
    <x v="2"/>
  </r>
  <r>
    <s v="ranbir"/>
    <s v="Chahal"/>
    <d v="2004-01-06T00:00:00"/>
    <x v="1"/>
    <n v="912223499801"/>
    <s v="jkakar@walla.info"/>
    <s v="H.No. 779, Gade Zila, Avadi 614409"/>
    <n v="2335174656"/>
    <s v="hJypF4260"/>
    <n v="28"/>
    <x v="3"/>
  </r>
  <r>
    <s v="biju"/>
    <s v="Keer"/>
    <d v="1995-11-02T00:00:00"/>
    <x v="0"/>
    <n v="910148967808"/>
    <s v="rsetty@chawla.com"/>
    <s v="947_x000a_Chanda Marg, Alwar 926456"/>
    <n v="3391729940"/>
    <s v="GQfQh3694"/>
    <n v="22"/>
    <x v="3"/>
  </r>
  <r>
    <s v="akarsh"/>
    <s v="Kunda"/>
    <d v="1967-11-19T00:00:00"/>
    <x v="2"/>
    <n v="917699296444"/>
    <s v="lvasa@yahoo.com"/>
    <s v="23/242_x000a_Dora Ganj_x000a_Patna 172415"/>
    <n v="5369158557"/>
    <s v="lFKZy4906"/>
    <n v="30"/>
    <x v="2"/>
  </r>
  <r>
    <s v="riaan"/>
    <s v="Boase"/>
    <d v="1955-03-31T00:00:00"/>
    <x v="0"/>
    <n v="9142693765"/>
    <s v="jainzoya@kala-khatri.com"/>
    <s v="28_x000a_Tailor Circle, Alappuzha-688501"/>
    <n v="6276292266"/>
    <s v="aKSSm6788"/>
    <n v="58"/>
    <x v="2"/>
  </r>
  <r>
    <s v="stuvan"/>
    <s v="Dhingra"/>
    <d v="1972-02-03T00:00:00"/>
    <x v="1"/>
    <n v="914609193511"/>
    <s v="shray55@hotmail.com"/>
    <s v="06/272_x000a_Uppal Circle_x000a_Vijayanagaram-337461"/>
    <n v="2157562641"/>
    <s v="qHhGY2608"/>
    <n v="71"/>
    <x v="1"/>
  </r>
  <r>
    <s v="mamooty"/>
    <s v="Sastry"/>
    <d v="1968-10-16T00:00:00"/>
    <x v="2"/>
    <n v="912422241983"/>
    <s v="psamra@sha.biz"/>
    <s v="H.No. 181_x000a_Dhillon Road, Gulbarga 842024"/>
    <n v="3509476511"/>
    <s v="AraNZ8615"/>
    <n v="54"/>
    <x v="2"/>
  </r>
  <r>
    <s v="lakshit"/>
    <s v="Ratti"/>
    <d v="1989-04-21T00:00:00"/>
    <x v="1"/>
    <n v="6896331812"/>
    <s v="tusharkannan@kade.com"/>
    <s v="H.No. 744, Kashyap Path, Haldia-626367"/>
    <n v="8508989774"/>
    <s v="RsPps7594"/>
    <n v="57"/>
    <x v="2"/>
  </r>
  <r>
    <s v="sahil"/>
    <s v="Sethi"/>
    <d v="1969-08-27T00:00:00"/>
    <x v="0"/>
    <n v="7618687047"/>
    <s v="psampath@yahoo.com"/>
    <s v="52/565, Raj_x000a_Pune-423302"/>
    <n v="9276405473"/>
    <s v="jeqdw9862"/>
    <n v="36"/>
    <x v="2"/>
  </r>
  <r>
    <s v="amira"/>
    <s v="Dani"/>
    <d v="1984-03-21T00:00:00"/>
    <x v="2"/>
    <n v="7246163034"/>
    <s v="trishasampath@atwal.org"/>
    <s v="529_x000a_Ranganathan Road_x000a_Surat 417996"/>
    <n v="5466289735"/>
    <s v="kjvjC1896"/>
    <n v="56"/>
    <x v="2"/>
  </r>
  <r>
    <s v="nitara"/>
    <s v="Batra"/>
    <d v="1966-07-20T00:00:00"/>
    <x v="0"/>
    <n v="1349317967"/>
    <s v="xaggarwal@mammen-rege.com"/>
    <s v="H.No. 79, Bhargava Street, Munger-506989"/>
    <n v="3546463989"/>
    <s v="QOPux7014"/>
    <n v="42"/>
    <x v="2"/>
  </r>
  <r>
    <s v="krish"/>
    <s v="Khosla"/>
    <d v="2000-07-11T00:00:00"/>
    <x v="0"/>
    <n v="9900536693"/>
    <s v="bhaminikalla@chopra.com"/>
    <s v="62/837_x000a_Wason Street_x000a_Mehsana-259310"/>
    <n v="3370089423"/>
    <s v="armmo4037"/>
    <n v="59"/>
    <x v="2"/>
  </r>
  <r>
    <s v="hazel"/>
    <s v="Kala"/>
    <d v="1965-08-02T00:00:00"/>
    <x v="2"/>
    <n v="918959103852"/>
    <s v="anayahalder@gmail.com"/>
    <s v="H.No. 59, Dara Marg_x000a_Sagar-963994"/>
    <n v="9594038955"/>
    <s v="XQPxm4656"/>
    <n v="25"/>
    <x v="3"/>
  </r>
  <r>
    <s v="shamik"/>
    <s v="Lad"/>
    <d v="1979-01-18T00:00:00"/>
    <x v="0"/>
    <n v="6694947155"/>
    <s v="ahana-45@badami.com"/>
    <s v="H.No. 37, Chad Chowk, Karaikudi 896539"/>
    <n v="4503754807"/>
    <s v="InmUI8053"/>
    <n v="60"/>
    <x v="2"/>
  </r>
  <r>
    <s v="onkar"/>
    <s v="Das"/>
    <d v="1999-02-12T00:00:00"/>
    <x v="2"/>
    <n v="916785984440"/>
    <s v="anaychaudhry@gmail.com"/>
    <s v="56/052_x000a_Rao Marg_x000a_Amravati 230299"/>
    <n v="9663309235"/>
    <s v="pbCMP6540"/>
    <n v="47"/>
    <x v="2"/>
  </r>
  <r>
    <s v="pihu"/>
    <s v="Saraf"/>
    <d v="1986-03-18T00:00:00"/>
    <x v="2"/>
    <n v="7449924687"/>
    <s v="onkar69@sundaram.org"/>
    <s v="H.No. 556, Dugal Marg, Thiruvananthapuram 026908"/>
    <n v="9649666811"/>
    <s v="YYjpQ8229"/>
    <n v="27"/>
    <x v="3"/>
  </r>
  <r>
    <s v="miraya"/>
    <s v="Yohannan"/>
    <d v="1983-03-30T00:00:00"/>
    <x v="2"/>
    <n v="4469888665"/>
    <s v="santhrishita@gmail.com"/>
    <s v="13/67, Raman Path, Erode-491532"/>
    <n v="1801130852"/>
    <s v="IXkps3156"/>
    <n v="40"/>
    <x v="2"/>
  </r>
  <r>
    <s v="diya"/>
    <s v="Subramaniam"/>
    <d v="1957-04-16T00:00:00"/>
    <x v="1"/>
    <n v="917591700343"/>
    <s v="kiaan25@yahoo.com"/>
    <s v="H.No. 536_x000a_Dugar Street, Bhatpara-115411"/>
    <n v="1902060713"/>
    <s v="Ycxil6930"/>
    <n v="43"/>
    <x v="2"/>
  </r>
  <r>
    <s v="shanaya"/>
    <s v="Sarin"/>
    <d v="1958-07-12T00:00:00"/>
    <x v="0"/>
    <n v="9067718536"/>
    <s v="khannariaan@sarma.com"/>
    <s v="H.No. 60, Din Nagar_x000a_Kollam 667752"/>
    <n v="7071279717"/>
    <s v="AYWsl6350"/>
    <n v="68"/>
    <x v="1"/>
  </r>
  <r>
    <s v="nitya"/>
    <s v="Ghose"/>
    <d v="1953-01-31T00:00:00"/>
    <x v="1"/>
    <n v="1797519378"/>
    <s v="madhav12@yahoo.com"/>
    <s v="H.No. 58_x000a_Sami Nagar_x000a_Kumbakonam-213461"/>
    <n v="6461526532"/>
    <s v="cVRGg2247"/>
    <n v="67"/>
    <x v="1"/>
  </r>
  <r>
    <s v="saira"/>
    <s v="Warrior"/>
    <d v="1952-02-01T00:00:00"/>
    <x v="0"/>
    <n v="6358699021"/>
    <s v="bavazain@johal.biz"/>
    <s v="12/467, Soni Marg_x000a_Asansol 259836"/>
    <n v="2074988495"/>
    <s v="aLjap9126"/>
    <n v="73"/>
    <x v="1"/>
  </r>
  <r>
    <s v="nehmat"/>
    <s v="Ahuja"/>
    <d v="1970-08-02T00:00:00"/>
    <x v="2"/>
    <n v="108867974"/>
    <s v="fkalla@hotmail.com"/>
    <s v="86/63_x000a_Srivastava Marg_x000a_Munger-333477"/>
    <n v="4963379226"/>
    <s v="ewaln2819"/>
    <n v="74"/>
    <x v="1"/>
  </r>
  <r>
    <s v="aniruddh"/>
    <s v="Khanna"/>
    <d v="1971-02-19T00:00:00"/>
    <x v="2"/>
    <n v="915024694841"/>
    <s v="hirantata@bhatnagar.com"/>
    <s v="857_x000a_Sodhi Nagar_x000a_Dhule 370858"/>
    <n v="7837921316"/>
    <s v="PdHaN8226"/>
    <n v="55"/>
    <x v="2"/>
  </r>
  <r>
    <s v="prerak"/>
    <s v="Ramaswamy"/>
    <d v="1949-10-12T00:00:00"/>
    <x v="0"/>
    <n v="912177491176"/>
    <s v="umang00@yahoo.com"/>
    <s v="H.No. 31_x000a_Tank Path_x000a_Raichur-295083"/>
    <n v="8603903674"/>
    <s v="zExnX8675"/>
    <n v="5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0CFB6C-9D2C-450C-B5BB-8B2928EC5F1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8" firstHeaderRow="1" firstDataRow="2" firstDataCol="1"/>
  <pivotFields count="11">
    <pivotField dataField="1" showAll="0"/>
    <pivotField showAll="0"/>
    <pivotField numFmtId="14"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3"/>
        <item x="1"/>
        <item x="2"/>
        <item x="0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first_name" fld="0" subtotal="count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28D6B-2299-4496-80A4-1A1502ADEBCC}">
  <dimension ref="A3:F8"/>
  <sheetViews>
    <sheetView workbookViewId="0">
      <selection activeCell="A3" sqref="A3"/>
    </sheetView>
  </sheetViews>
  <sheetFormatPr defaultRowHeight="14.4"/>
  <cols>
    <col min="1" max="1" width="17" bestFit="1" customWidth="1"/>
    <col min="2" max="2" width="15.5546875" bestFit="1" customWidth="1"/>
    <col min="3" max="3" width="4" bestFit="1" customWidth="1"/>
    <col min="4" max="4" width="5.6640625" bestFit="1" customWidth="1"/>
    <col min="5" max="5" width="7" bestFit="1" customWidth="1"/>
    <col min="6" max="6" width="10.5546875" bestFit="1" customWidth="1"/>
  </cols>
  <sheetData>
    <row r="3" spans="1:6">
      <c r="A3" s="8" t="s">
        <v>3636</v>
      </c>
      <c r="B3" s="8" t="s">
        <v>3631</v>
      </c>
    </row>
    <row r="4" spans="1:6">
      <c r="A4" s="8" t="s">
        <v>3629</v>
      </c>
      <c r="B4" t="s">
        <v>3632</v>
      </c>
      <c r="C4" t="s">
        <v>3633</v>
      </c>
      <c r="D4" t="s">
        <v>3634</v>
      </c>
      <c r="E4" t="s">
        <v>3635</v>
      </c>
      <c r="F4" t="s">
        <v>3630</v>
      </c>
    </row>
    <row r="5" spans="1:6">
      <c r="A5" s="9" t="s">
        <v>28</v>
      </c>
      <c r="B5" s="10">
        <v>13</v>
      </c>
      <c r="C5" s="10">
        <v>17</v>
      </c>
      <c r="D5" s="10">
        <v>37</v>
      </c>
      <c r="E5" s="10"/>
      <c r="F5" s="10">
        <v>67</v>
      </c>
    </row>
    <row r="6" spans="1:6">
      <c r="A6" s="9" t="s">
        <v>15</v>
      </c>
      <c r="B6" s="10">
        <v>15</v>
      </c>
      <c r="C6" s="10">
        <v>17</v>
      </c>
      <c r="D6" s="10">
        <v>41</v>
      </c>
      <c r="E6" s="10"/>
      <c r="F6" s="10">
        <v>73</v>
      </c>
    </row>
    <row r="7" spans="1:6">
      <c r="A7" s="9" t="s">
        <v>10</v>
      </c>
      <c r="B7" s="10">
        <v>12</v>
      </c>
      <c r="C7" s="10">
        <v>19</v>
      </c>
      <c r="D7" s="10">
        <v>34</v>
      </c>
      <c r="E7" s="10">
        <v>1</v>
      </c>
      <c r="F7" s="10">
        <v>66</v>
      </c>
    </row>
    <row r="8" spans="1:6">
      <c r="A8" s="9" t="s">
        <v>3630</v>
      </c>
      <c r="B8" s="10">
        <v>40</v>
      </c>
      <c r="C8" s="10">
        <v>53</v>
      </c>
      <c r="D8" s="10">
        <v>112</v>
      </c>
      <c r="E8" s="10">
        <v>1</v>
      </c>
      <c r="F8" s="10">
        <v>206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4C8CB-B362-4876-9502-AEF96178B950}">
  <sheetPr filterMode="1"/>
  <dimension ref="A1:AN246"/>
  <sheetViews>
    <sheetView tabSelected="1" topLeftCell="I1" zoomScale="96" workbookViewId="0">
      <selection activeCell="X31" sqref="X31"/>
    </sheetView>
  </sheetViews>
  <sheetFormatPr defaultRowHeight="14.4"/>
  <cols>
    <col min="1" max="1" width="9.6640625" bestFit="1" customWidth="1"/>
    <col min="2" max="2" width="15.21875" bestFit="1" customWidth="1"/>
    <col min="3" max="3" width="11.33203125" bestFit="1" customWidth="1"/>
    <col min="4" max="4" width="7" bestFit="1" customWidth="1"/>
    <col min="5" max="5" width="14.21875" bestFit="1" customWidth="1"/>
    <col min="6" max="6" width="36.109375" bestFit="1" customWidth="1"/>
    <col min="7" max="7" width="46.5546875" bestFit="1" customWidth="1"/>
    <col min="8" max="8" width="14.77734375" bestFit="1" customWidth="1"/>
    <col min="9" max="9" width="12.109375" bestFit="1" customWidth="1"/>
    <col min="13" max="13" width="9.44140625" bestFit="1" customWidth="1"/>
    <col min="14" max="14" width="9.21875" bestFit="1" customWidth="1"/>
    <col min="15" max="15" width="11.33203125" bestFit="1" customWidth="1"/>
    <col min="17" max="17" width="14.21875" bestFit="1" customWidth="1"/>
    <col min="19" max="19" width="17.5546875" bestFit="1" customWidth="1"/>
    <col min="20" max="20" width="14.77734375" bestFit="1" customWidth="1"/>
    <col min="21" max="21" width="23.21875" bestFit="1" customWidth="1"/>
    <col min="23" max="23" width="22.5546875" bestFit="1" customWidth="1"/>
    <col min="27" max="27" width="20.44140625" customWidth="1"/>
    <col min="29" max="29" width="13.5546875" bestFit="1" customWidth="1"/>
    <col min="31" max="31" width="23.109375" bestFit="1" customWidth="1"/>
    <col min="33" max="33" width="19.33203125" bestFit="1" customWidth="1"/>
    <col min="34" max="35" width="19.33203125" customWidth="1"/>
    <col min="37" max="37" width="10.5546875" customWidth="1"/>
    <col min="38" max="38" width="10.88671875" customWidth="1"/>
    <col min="40" max="40" width="18.109375" bestFit="1" customWidth="1"/>
  </cols>
  <sheetData>
    <row r="1" spans="1:39" ht="28.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3622</v>
      </c>
      <c r="K1" s="3" t="s">
        <v>3628</v>
      </c>
      <c r="M1" s="3" t="s">
        <v>3617</v>
      </c>
      <c r="P1" s="3" t="s">
        <v>3618</v>
      </c>
      <c r="S1" s="3" t="s">
        <v>3637</v>
      </c>
      <c r="U1" s="3" t="s">
        <v>3620</v>
      </c>
      <c r="W1" s="3" t="s">
        <v>3621</v>
      </c>
      <c r="Y1" s="3" t="s">
        <v>3622</v>
      </c>
      <c r="AA1" s="7" t="s">
        <v>3623</v>
      </c>
      <c r="AC1" s="3" t="s">
        <v>3625</v>
      </c>
      <c r="AE1" s="3" t="s">
        <v>3624</v>
      </c>
      <c r="AG1" s="3" t="s">
        <v>3626</v>
      </c>
      <c r="AI1" s="3" t="s">
        <v>3627</v>
      </c>
      <c r="AK1" s="11" t="s">
        <v>3639</v>
      </c>
      <c r="AM1" s="3" t="s">
        <v>3638</v>
      </c>
    </row>
    <row r="2" spans="1:39">
      <c r="A2" t="s">
        <v>3412</v>
      </c>
      <c r="B2" t="s">
        <v>9</v>
      </c>
      <c r="C2" s="1">
        <v>18448</v>
      </c>
      <c r="D2" t="s">
        <v>10</v>
      </c>
      <c r="E2">
        <v>4332181960</v>
      </c>
      <c r="F2" t="s">
        <v>11</v>
      </c>
      <c r="G2" t="s">
        <v>12</v>
      </c>
      <c r="H2">
        <v>6155940781</v>
      </c>
      <c r="I2" t="s">
        <v>13</v>
      </c>
      <c r="J2">
        <f ca="1">DATEDIF(C6, TODAY(), "y")</f>
        <v>53</v>
      </c>
      <c r="K2" t="str">
        <f t="shared" ref="K2:K67" si="0">IF(Y2&lt;30,"&lt;30",IF(Y2&lt;=60,"30-60","&gt;60"))</f>
        <v>&lt;30</v>
      </c>
      <c r="AE2" s="4" t="s">
        <v>3</v>
      </c>
      <c r="AG2" s="4" t="s">
        <v>3622</v>
      </c>
      <c r="AK2" s="3" t="s">
        <v>3622</v>
      </c>
      <c r="AM2" s="3" t="s">
        <v>3619</v>
      </c>
    </row>
    <row r="3" spans="1:39" ht="28.8" hidden="1">
      <c r="A3" t="s">
        <v>3413</v>
      </c>
      <c r="B3" t="s">
        <v>14</v>
      </c>
      <c r="C3" s="1">
        <v>18965</v>
      </c>
      <c r="D3" t="s">
        <v>15</v>
      </c>
      <c r="E3">
        <v>3413164752</v>
      </c>
      <c r="F3" t="s">
        <v>16</v>
      </c>
      <c r="G3" s="2" t="s">
        <v>17</v>
      </c>
      <c r="H3">
        <v>9537672423</v>
      </c>
      <c r="I3" t="s">
        <v>18</v>
      </c>
      <c r="J3">
        <v>75</v>
      </c>
      <c r="K3" t="str">
        <f ca="1">IF(Y3&lt;30,"&lt;30",IF(Y3&lt;=60,"30-60","&gt;60"))</f>
        <v>&gt;60</v>
      </c>
      <c r="M3" t="str" cm="1">
        <f t="array" ref="M3:M208">PROPER(A2:A207)</f>
        <v>Navya</v>
      </c>
      <c r="N3" t="str" cm="1">
        <f t="array" ref="N3:N208">TRIM(B2:B207)</f>
        <v>Bhalla</v>
      </c>
      <c r="P3" t="str" cm="1">
        <f t="array" ref="P3:P208">TRIM(_xlfn.ANCHORARRAY(M3))</f>
        <v>Navya</v>
      </c>
      <c r="Q3" t="str" cm="1">
        <f t="array" ref="Q3:Q208">TRIM(_xlfn.ANCHORARRAY(N3))</f>
        <v>Bhalla</v>
      </c>
      <c r="S3" t="str" cm="1">
        <f t="array" ref="S3">_xlfn.IFS(OR(D2="M", D2="Male"), "Male", OR(D2="F", D2="Female"), "Female", TRUE, "Other")</f>
        <v>Other</v>
      </c>
      <c r="U3" t="str">
        <f>A2&amp;" "&amp;B2</f>
        <v>navya Bhalla</v>
      </c>
      <c r="W3" t="str">
        <f>CONCATENATE(A2," ",B2)</f>
        <v>navya Bhalla</v>
      </c>
      <c r="Y3">
        <f ca="1">DATEDIF(C2, TODAY(), "y")</f>
        <v>75</v>
      </c>
      <c r="AA3" s="5" t="str">
        <f ca="1">IF(Y3 &gt; 60, "Yes", "No")</f>
        <v>Yes</v>
      </c>
      <c r="AC3" s="5" t="str">
        <f>RIGHT(TRIM(G2), 6)</f>
        <v>423511</v>
      </c>
      <c r="AE3" t="s">
        <v>10</v>
      </c>
      <c r="AG3">
        <v>75</v>
      </c>
      <c r="AI3" t="str">
        <f>REPLACE(F2, 1, SEARCH("@", F2), "")</f>
        <v>ramachandran.com</v>
      </c>
      <c r="AK3">
        <v>77</v>
      </c>
      <c r="AM3" t="s">
        <v>10</v>
      </c>
    </row>
    <row r="4" spans="1:39" ht="28.8" hidden="1">
      <c r="A4" t="s">
        <v>3414</v>
      </c>
      <c r="B4" t="s">
        <v>19</v>
      </c>
      <c r="C4" s="1">
        <v>30093</v>
      </c>
      <c r="D4" t="s">
        <v>15</v>
      </c>
      <c r="E4">
        <v>910122691669</v>
      </c>
      <c r="F4" t="s">
        <v>20</v>
      </c>
      <c r="G4" s="2" t="s">
        <v>21</v>
      </c>
      <c r="H4">
        <v>2528809570</v>
      </c>
      <c r="I4" t="s">
        <v>22</v>
      </c>
      <c r="J4">
        <v>74</v>
      </c>
      <c r="K4" t="str">
        <f t="shared" ca="1" si="0"/>
        <v>&gt;60</v>
      </c>
      <c r="M4" t="str">
        <v>Renee</v>
      </c>
      <c r="N4" t="str">
        <v>Banerjee</v>
      </c>
      <c r="P4" t="str">
        <v>Renee</v>
      </c>
      <c r="Q4" t="str">
        <v>Banerjee</v>
      </c>
      <c r="S4" t="str" cm="1">
        <f t="array" ref="S4">_xlfn.IFS(OR(D3="M", D3="Male"), "Male", OR(D3="F", D3="Female"), "Female", TRUE, "Other")</f>
        <v>Male</v>
      </c>
      <c r="U4" t="str">
        <f t="shared" ref="U4:U67" si="1">A3&amp;" "&amp;B3</f>
        <v>renee Banerjee</v>
      </c>
      <c r="W4" t="str">
        <f t="shared" ref="W4:W67" si="2">CONCATENATE(A3," ",B3)</f>
        <v>renee Banerjee</v>
      </c>
      <c r="Y4">
        <f t="shared" ref="Y4:Y67" ca="1" si="3">DATEDIF(C3, TODAY(), "y")</f>
        <v>74</v>
      </c>
      <c r="AA4" s="5" t="str">
        <f ca="1">IF(Y4 &gt; 60, "Yes", "No")</f>
        <v>Yes</v>
      </c>
      <c r="AC4" s="5" t="str">
        <f>RIGHT(TRIM(G3), 6)</f>
        <v>056413</v>
      </c>
      <c r="AE4" t="s">
        <v>15</v>
      </c>
      <c r="AG4">
        <v>74</v>
      </c>
      <c r="AI4" t="str">
        <f>REPLACE(F3, 1, SEARCH("@", F3), "")</f>
        <v>hotmail.com</v>
      </c>
      <c r="AK4">
        <v>76</v>
      </c>
      <c r="AM4" t="s">
        <v>15</v>
      </c>
    </row>
    <row r="5" spans="1:39" ht="28.8" hidden="1">
      <c r="A5" t="s">
        <v>3415</v>
      </c>
      <c r="B5" t="s">
        <v>23</v>
      </c>
      <c r="C5" s="1">
        <v>38109</v>
      </c>
      <c r="D5" t="s">
        <v>10</v>
      </c>
      <c r="E5">
        <v>918227824896</v>
      </c>
      <c r="F5" t="s">
        <v>24</v>
      </c>
      <c r="G5" s="2" t="s">
        <v>25</v>
      </c>
      <c r="H5">
        <v>5183473829</v>
      </c>
      <c r="I5" t="s">
        <v>26</v>
      </c>
      <c r="J5">
        <v>43</v>
      </c>
      <c r="K5" t="str">
        <f t="shared" ca="1" si="0"/>
        <v>30-60</v>
      </c>
      <c r="M5" t="str">
        <v>Hiran</v>
      </c>
      <c r="N5" t="str">
        <v>Kumar</v>
      </c>
      <c r="P5" t="str">
        <v>Hiran</v>
      </c>
      <c r="Q5" t="str">
        <v>Kumar</v>
      </c>
      <c r="S5" t="str" cm="1">
        <f t="array" ref="S5">_xlfn.IFS(OR(D4="M", D4="Male"), "Male", OR(D4="F", D4="Female"), "Female", TRUE, "Other")</f>
        <v>Male</v>
      </c>
      <c r="U5" t="str">
        <f t="shared" si="1"/>
        <v>hiran Kumar</v>
      </c>
      <c r="W5" t="str">
        <f t="shared" si="2"/>
        <v>hiran Kumar</v>
      </c>
      <c r="Y5">
        <f t="shared" ca="1" si="3"/>
        <v>43</v>
      </c>
      <c r="AA5" s="5" t="str">
        <f t="shared" ref="AA5:AA67" ca="1" si="4">IF(Y5 &gt; 60, "Yes", "No")</f>
        <v>No</v>
      </c>
      <c r="AC5" s="5" t="str">
        <f>RIGHT(TRIM(G4), 6)</f>
        <v>814893</v>
      </c>
      <c r="AE5" t="s">
        <v>15</v>
      </c>
      <c r="AG5">
        <v>43</v>
      </c>
      <c r="AI5" t="str">
        <f>REPLACE(F4, 1, SEARCH("@", F4), "")</f>
        <v>hotmail.com</v>
      </c>
      <c r="AK5">
        <v>76</v>
      </c>
      <c r="AM5" t="s">
        <v>15</v>
      </c>
    </row>
    <row r="6" spans="1:39" ht="43.2" hidden="1">
      <c r="A6" t="s">
        <v>3416</v>
      </c>
      <c r="B6" t="s">
        <v>27</v>
      </c>
      <c r="C6" s="1">
        <v>26633</v>
      </c>
      <c r="D6" t="s">
        <v>28</v>
      </c>
      <c r="E6">
        <v>6701065133</v>
      </c>
      <c r="F6" t="s">
        <v>29</v>
      </c>
      <c r="G6" s="2" t="s">
        <v>30</v>
      </c>
      <c r="H6">
        <v>6064746872</v>
      </c>
      <c r="I6" t="s">
        <v>31</v>
      </c>
      <c r="J6">
        <v>21</v>
      </c>
      <c r="K6" t="str">
        <f t="shared" ca="1" si="0"/>
        <v>&lt;30</v>
      </c>
      <c r="M6" t="str">
        <v>Sana</v>
      </c>
      <c r="N6" t="str">
        <v>Kibe</v>
      </c>
      <c r="P6" t="str">
        <v>Sana</v>
      </c>
      <c r="Q6" t="str">
        <v>Kibe</v>
      </c>
      <c r="S6" t="str" cm="1">
        <f t="array" ref="S6">_xlfn.IFS(OR(D5="M", D5="Male"), "Male", OR(D5="F", D5="Female"), "Female", TRUE, "Other")</f>
        <v>Other</v>
      </c>
      <c r="U6" t="str">
        <f t="shared" si="1"/>
        <v>sana Kibe</v>
      </c>
      <c r="W6" t="str">
        <f t="shared" si="2"/>
        <v>sana Kibe</v>
      </c>
      <c r="Y6">
        <f t="shared" ca="1" si="3"/>
        <v>21</v>
      </c>
      <c r="AA6" s="5" t="str">
        <f t="shared" ca="1" si="4"/>
        <v>No</v>
      </c>
      <c r="AC6" s="5" t="str">
        <f>RIGHT(TRIM(G5), 6)</f>
        <v>010310</v>
      </c>
      <c r="AE6" t="s">
        <v>10</v>
      </c>
      <c r="AG6">
        <v>21</v>
      </c>
      <c r="AI6" t="str">
        <f>REPLACE(F5, 1, SEARCH("@", F5), "")</f>
        <v>sampath-sachar.com</v>
      </c>
      <c r="AK6">
        <v>76</v>
      </c>
      <c r="AM6" t="s">
        <v>10</v>
      </c>
    </row>
    <row r="7" spans="1:39" ht="43.2">
      <c r="A7" t="s">
        <v>3417</v>
      </c>
      <c r="B7" t="s">
        <v>32</v>
      </c>
      <c r="C7" s="1">
        <v>19073</v>
      </c>
      <c r="D7" t="s">
        <v>15</v>
      </c>
      <c r="E7">
        <v>7882081219</v>
      </c>
      <c r="F7" t="s">
        <v>33</v>
      </c>
      <c r="G7" s="2" t="s">
        <v>34</v>
      </c>
      <c r="H7">
        <v>799118384</v>
      </c>
      <c r="I7" t="s">
        <v>35</v>
      </c>
      <c r="J7">
        <f ca="1">DATEDIF(C11, TODAY(), "y")</f>
        <v>60</v>
      </c>
      <c r="K7" t="str">
        <f ca="1">IF(J2&lt;30,"&lt;30",IF(J2&lt;=60,"30-60","&gt;60"))</f>
        <v>30-60</v>
      </c>
      <c r="M7" t="str">
        <v>Nirvi</v>
      </c>
      <c r="N7" t="str">
        <v>Kale</v>
      </c>
      <c r="P7" t="str">
        <v>Nirvi</v>
      </c>
      <c r="Q7" t="str">
        <v>Kale</v>
      </c>
      <c r="S7" t="str" cm="1">
        <f t="array" ref="S7">_xlfn.IFS(OR(D6="M", D6="Male"), "Male", OR(D6="F", D6="Female"), "Female", TRUE, "Other")</f>
        <v>Female</v>
      </c>
      <c r="U7" t="str">
        <f t="shared" si="1"/>
        <v>nirvi Kale</v>
      </c>
      <c r="W7" t="str">
        <f t="shared" si="2"/>
        <v>nirvi Kale</v>
      </c>
      <c r="Y7">
        <f ca="1">DATEDIF(C6, TODAY(), "y")</f>
        <v>53</v>
      </c>
      <c r="AA7" s="5" t="str">
        <f ca="1">IF(J2 &gt; 60, "Yes", "No")</f>
        <v>No</v>
      </c>
      <c r="AC7" s="5" t="str">
        <f>RIGHT(TRIM(G6), 6)</f>
        <v>773602</v>
      </c>
      <c r="AE7" t="s">
        <v>28</v>
      </c>
      <c r="AG7">
        <v>53</v>
      </c>
      <c r="AI7" t="str">
        <f>REPLACE(F6, 1, SEARCH("@", F6), "")</f>
        <v>dewan.com</v>
      </c>
      <c r="AK7">
        <v>75</v>
      </c>
      <c r="AM7" t="s">
        <v>28</v>
      </c>
    </row>
    <row r="8" spans="1:39" ht="43.2" hidden="1">
      <c r="A8" t="s">
        <v>3418</v>
      </c>
      <c r="B8" t="s">
        <v>40</v>
      </c>
      <c r="C8" s="1">
        <v>20381</v>
      </c>
      <c r="D8" t="s">
        <v>15</v>
      </c>
      <c r="E8">
        <v>8692322602</v>
      </c>
      <c r="F8" t="s">
        <v>41</v>
      </c>
      <c r="G8" s="2" t="s">
        <v>42</v>
      </c>
      <c r="H8">
        <v>5414586850</v>
      </c>
      <c r="I8" t="s">
        <v>43</v>
      </c>
      <c r="J8">
        <v>74</v>
      </c>
      <c r="K8" t="str">
        <f t="shared" ca="1" si="0"/>
        <v>&gt;60</v>
      </c>
      <c r="M8" t="str">
        <v>Saksham</v>
      </c>
      <c r="N8" t="str">
        <v>Balakrishnan</v>
      </c>
      <c r="P8" t="str">
        <v>Saksham</v>
      </c>
      <c r="Q8" t="str">
        <v>Balakrishnan</v>
      </c>
      <c r="S8" t="str" cm="1">
        <f t="array" ref="S8">_xlfn.IFS(OR(D7="M", D7="Male"), "Male", OR(D7="F", D7="Female"), "Female", TRUE, "Other")</f>
        <v>Male</v>
      </c>
      <c r="U8" t="str">
        <f t="shared" si="1"/>
        <v>saksham Balakrishnan</v>
      </c>
      <c r="W8" t="str">
        <f t="shared" si="2"/>
        <v>saksham Balakrishnan</v>
      </c>
      <c r="Y8">
        <f t="shared" ca="1" si="3"/>
        <v>74</v>
      </c>
      <c r="AA8" s="5" t="str">
        <f t="shared" ca="1" si="4"/>
        <v>Yes</v>
      </c>
      <c r="AC8" s="5" t="str">
        <f>RIGHT(TRIM(G7), 6)</f>
        <v>624751</v>
      </c>
      <c r="AE8" t="s">
        <v>15</v>
      </c>
      <c r="AG8">
        <v>74</v>
      </c>
      <c r="AI8" t="str">
        <f>REPLACE(F7, 1, SEARCH("@", F7), "")</f>
        <v>dasgupta.com</v>
      </c>
      <c r="AK8">
        <v>75</v>
      </c>
      <c r="AM8" t="s">
        <v>15</v>
      </c>
    </row>
    <row r="9" spans="1:39" hidden="1">
      <c r="A9" t="s">
        <v>3419</v>
      </c>
      <c r="B9" t="s">
        <v>44</v>
      </c>
      <c r="C9" s="1">
        <v>37373</v>
      </c>
      <c r="D9" t="s">
        <v>10</v>
      </c>
      <c r="E9">
        <v>6981693406</v>
      </c>
      <c r="F9" t="s">
        <v>45</v>
      </c>
      <c r="G9" t="s">
        <v>46</v>
      </c>
      <c r="H9">
        <v>4680443699</v>
      </c>
      <c r="I9" t="s">
        <v>47</v>
      </c>
      <c r="J9">
        <v>70</v>
      </c>
      <c r="K9" t="str">
        <f t="shared" ca="1" si="0"/>
        <v>&gt;60</v>
      </c>
      <c r="M9" t="str">
        <v>Nishith</v>
      </c>
      <c r="N9" t="str">
        <v>Sama</v>
      </c>
      <c r="P9" t="str">
        <v>Nishith</v>
      </c>
      <c r="Q9" t="str">
        <v>Sama</v>
      </c>
      <c r="S9" t="str" cm="1">
        <f t="array" ref="S9">_xlfn.IFS(OR(D8="M", D8="Male"), "Male", OR(D8="F", D8="Female"), "Female", TRUE, "Other")</f>
        <v>Male</v>
      </c>
      <c r="U9" t="str">
        <f t="shared" si="1"/>
        <v>nishith Sama</v>
      </c>
      <c r="W9" t="str">
        <f t="shared" si="2"/>
        <v>nishith Sama</v>
      </c>
      <c r="Y9">
        <f t="shared" ca="1" si="3"/>
        <v>70</v>
      </c>
      <c r="AA9" s="5" t="str">
        <f t="shared" ca="1" si="4"/>
        <v>Yes</v>
      </c>
      <c r="AC9" s="5" t="str">
        <f>RIGHT(TRIM(G8), 6)</f>
        <v>433036</v>
      </c>
      <c r="AE9" t="s">
        <v>15</v>
      </c>
      <c r="AG9">
        <v>70</v>
      </c>
      <c r="AI9" t="str">
        <f>REPLACE(F8, 1, SEARCH("@", F8), "")</f>
        <v>hotmail.com</v>
      </c>
      <c r="AK9">
        <v>75</v>
      </c>
      <c r="AM9" t="s">
        <v>15</v>
      </c>
    </row>
    <row r="10" spans="1:39" ht="28.8" hidden="1">
      <c r="A10" t="s">
        <v>3420</v>
      </c>
      <c r="B10" t="s">
        <v>48</v>
      </c>
      <c r="C10" s="1">
        <v>22044</v>
      </c>
      <c r="D10" t="s">
        <v>15</v>
      </c>
      <c r="E10">
        <v>1489513433</v>
      </c>
      <c r="F10" t="s">
        <v>49</v>
      </c>
      <c r="G10" s="2" t="s">
        <v>50</v>
      </c>
      <c r="H10">
        <v>3172788957</v>
      </c>
      <c r="I10" t="s">
        <v>51</v>
      </c>
      <c r="J10">
        <v>23</v>
      </c>
      <c r="K10" t="str">
        <f t="shared" ca="1" si="0"/>
        <v>&lt;30</v>
      </c>
      <c r="M10" t="str">
        <v>Shray</v>
      </c>
      <c r="N10" t="str">
        <v>Sethi</v>
      </c>
      <c r="P10" t="str">
        <v>Shray</v>
      </c>
      <c r="Q10" t="str">
        <v>Sethi</v>
      </c>
      <c r="S10" t="str" cm="1">
        <f t="array" ref="S10">_xlfn.IFS(OR(D9="M", D9="Male"), "Male", OR(D9="F", D9="Female"), "Female", TRUE, "Other")</f>
        <v>Other</v>
      </c>
      <c r="U10" t="str">
        <f t="shared" si="1"/>
        <v>shray Sethi</v>
      </c>
      <c r="W10" t="str">
        <f t="shared" si="2"/>
        <v>shray Sethi</v>
      </c>
      <c r="Y10">
        <f t="shared" ca="1" si="3"/>
        <v>23</v>
      </c>
      <c r="AA10" s="5" t="str">
        <f t="shared" ca="1" si="4"/>
        <v>No</v>
      </c>
      <c r="AC10" s="5" t="str">
        <f>RIGHT(TRIM(G9), 6)</f>
        <v>366299</v>
      </c>
      <c r="AE10" t="s">
        <v>10</v>
      </c>
      <c r="AG10">
        <v>23</v>
      </c>
      <c r="AI10" t="str">
        <f>REPLACE(F9, 1, SEARCH("@", F9), "")</f>
        <v>salvi.org</v>
      </c>
      <c r="AK10">
        <v>75</v>
      </c>
      <c r="AM10" t="s">
        <v>10</v>
      </c>
    </row>
    <row r="11" spans="1:39" ht="43.2" hidden="1">
      <c r="A11" t="s">
        <v>3421</v>
      </c>
      <c r="B11" t="s">
        <v>52</v>
      </c>
      <c r="C11" s="1">
        <v>23972</v>
      </c>
      <c r="D11" t="s">
        <v>10</v>
      </c>
      <c r="E11">
        <v>4873471434</v>
      </c>
      <c r="F11" t="s">
        <v>53</v>
      </c>
      <c r="G11" s="2" t="s">
        <v>54</v>
      </c>
      <c r="H11">
        <v>6705466889</v>
      </c>
      <c r="I11" t="s">
        <v>55</v>
      </c>
      <c r="J11">
        <v>65</v>
      </c>
      <c r="K11" t="str">
        <f t="shared" ca="1" si="0"/>
        <v>&gt;60</v>
      </c>
      <c r="M11" t="str">
        <v>Yashvi</v>
      </c>
      <c r="N11" t="str">
        <v>Shah</v>
      </c>
      <c r="P11" t="str">
        <v>Yashvi</v>
      </c>
      <c r="Q11" t="str">
        <v>Shah</v>
      </c>
      <c r="S11" t="str" cm="1">
        <f t="array" ref="S11">_xlfn.IFS(OR(D10="M", D10="Male"), "Male", OR(D10="F", D10="Female"), "Female", TRUE, "Other")</f>
        <v>Male</v>
      </c>
      <c r="U11" t="str">
        <f t="shared" si="1"/>
        <v>yashvi Shah</v>
      </c>
      <c r="W11" t="str">
        <f t="shared" si="2"/>
        <v>yashvi Shah</v>
      </c>
      <c r="Y11">
        <f t="shared" ca="1" si="3"/>
        <v>65</v>
      </c>
      <c r="AA11" s="5" t="str">
        <f t="shared" ca="1" si="4"/>
        <v>Yes</v>
      </c>
      <c r="AC11" s="5" t="str">
        <f>RIGHT(TRIM(G10), 6)</f>
        <v>328708</v>
      </c>
      <c r="AE11" t="s">
        <v>15</v>
      </c>
      <c r="AG11">
        <v>65</v>
      </c>
      <c r="AI11" t="str">
        <f>REPLACE(F10, 1, SEARCH("@", F10), "")</f>
        <v>ramaswamy-varghese.com</v>
      </c>
      <c r="AK11">
        <v>75</v>
      </c>
      <c r="AM11" t="s">
        <v>15</v>
      </c>
    </row>
    <row r="12" spans="1:39" hidden="1">
      <c r="A12" t="s">
        <v>3422</v>
      </c>
      <c r="B12" t="s">
        <v>56</v>
      </c>
      <c r="C12" s="1">
        <v>37664</v>
      </c>
      <c r="D12" t="s">
        <v>10</v>
      </c>
      <c r="E12">
        <v>2729806990</v>
      </c>
      <c r="F12" t="s">
        <v>57</v>
      </c>
      <c r="G12" t="s">
        <v>58</v>
      </c>
      <c r="H12">
        <v>1003309232</v>
      </c>
      <c r="I12" t="s">
        <v>59</v>
      </c>
      <c r="J12">
        <v>60</v>
      </c>
      <c r="K12" t="str">
        <f t="shared" ca="1" si="0"/>
        <v>30-60</v>
      </c>
      <c r="M12" t="str">
        <v>Pranay</v>
      </c>
      <c r="N12" t="str">
        <v>Sheth</v>
      </c>
      <c r="P12" t="str">
        <v>Pranay</v>
      </c>
      <c r="Q12" t="str">
        <v>Sheth</v>
      </c>
      <c r="S12" t="str" cm="1">
        <f t="array" ref="S12">_xlfn.IFS(OR(D11="M", D11="Male"), "Male", OR(D11="F", D11="Female"), "Female", TRUE, "Other")</f>
        <v>Other</v>
      </c>
      <c r="U12" t="str">
        <f t="shared" si="1"/>
        <v>pranay Sheth</v>
      </c>
      <c r="W12" t="str">
        <f t="shared" si="2"/>
        <v>pranay Sheth</v>
      </c>
      <c r="Y12">
        <f t="shared" ca="1" si="3"/>
        <v>60</v>
      </c>
      <c r="AA12" s="5" t="str">
        <f t="shared" ca="1" si="4"/>
        <v>No</v>
      </c>
      <c r="AC12" s="5" t="str">
        <f>RIGHT(TRIM(G11), 6)</f>
        <v>366909</v>
      </c>
      <c r="AE12" t="s">
        <v>10</v>
      </c>
      <c r="AG12">
        <v>60</v>
      </c>
      <c r="AI12" t="str">
        <f>REPLACE(F11, 1, SEARCH("@", F11), "")</f>
        <v>gmail.com</v>
      </c>
      <c r="AK12">
        <v>74</v>
      </c>
      <c r="AM12" t="s">
        <v>10</v>
      </c>
    </row>
    <row r="13" spans="1:39" ht="28.8" hidden="1">
      <c r="A13" t="s">
        <v>3423</v>
      </c>
      <c r="B13" t="s">
        <v>60</v>
      </c>
      <c r="C13" s="1">
        <v>32920</v>
      </c>
      <c r="D13" t="s">
        <v>10</v>
      </c>
      <c r="E13">
        <v>1241904966</v>
      </c>
      <c r="F13" t="s">
        <v>61</v>
      </c>
      <c r="G13" s="2" t="s">
        <v>62</v>
      </c>
      <c r="H13">
        <v>6284987769</v>
      </c>
      <c r="I13" t="s">
        <v>63</v>
      </c>
      <c r="J13">
        <v>23</v>
      </c>
      <c r="K13" t="str">
        <f t="shared" ca="1" si="0"/>
        <v>&lt;30</v>
      </c>
      <c r="M13" t="str">
        <v>Oorja</v>
      </c>
      <c r="N13" t="str">
        <v>Sane</v>
      </c>
      <c r="P13" t="str">
        <v>Oorja</v>
      </c>
      <c r="Q13" t="str">
        <v>Sane</v>
      </c>
      <c r="S13" t="str" cm="1">
        <f t="array" ref="S13">_xlfn.IFS(OR(D12="M", D12="Male"), "Male", OR(D12="F", D12="Female"), "Female", TRUE, "Other")</f>
        <v>Other</v>
      </c>
      <c r="U13" t="str">
        <f t="shared" si="1"/>
        <v>oorja Sane</v>
      </c>
      <c r="W13" t="str">
        <f t="shared" si="2"/>
        <v>oorja Sane</v>
      </c>
      <c r="Y13">
        <f t="shared" ca="1" si="3"/>
        <v>23</v>
      </c>
      <c r="AA13" s="5" t="str">
        <f t="shared" ca="1" si="4"/>
        <v>No</v>
      </c>
      <c r="AC13" s="5" t="str">
        <f>RIGHT(TRIM(G12), 6)</f>
        <v>708053</v>
      </c>
      <c r="AE13" t="s">
        <v>10</v>
      </c>
      <c r="AG13">
        <v>23</v>
      </c>
      <c r="AI13" t="str">
        <f>REPLACE(F12, 1, SEARCH("@", F12), "")</f>
        <v>bakshi.biz</v>
      </c>
      <c r="AK13">
        <v>74</v>
      </c>
      <c r="AM13" t="s">
        <v>10</v>
      </c>
    </row>
    <row r="14" spans="1:39" ht="28.8" hidden="1">
      <c r="A14" t="s">
        <v>3424</v>
      </c>
      <c r="B14" t="s">
        <v>64</v>
      </c>
      <c r="C14" s="1">
        <v>34434</v>
      </c>
      <c r="D14" t="s">
        <v>15</v>
      </c>
      <c r="E14">
        <v>5075273545</v>
      </c>
      <c r="F14" t="s">
        <v>65</v>
      </c>
      <c r="G14" s="2" t="s">
        <v>66</v>
      </c>
      <c r="H14">
        <v>7885685574</v>
      </c>
      <c r="I14" t="s">
        <v>67</v>
      </c>
      <c r="J14">
        <v>36</v>
      </c>
      <c r="K14" t="str">
        <f t="shared" ca="1" si="0"/>
        <v>30-60</v>
      </c>
      <c r="M14" t="str">
        <v>Ivan</v>
      </c>
      <c r="N14" t="str">
        <v>Raman</v>
      </c>
      <c r="P14" t="str">
        <v>Ivan</v>
      </c>
      <c r="Q14" t="str">
        <v>Raman</v>
      </c>
      <c r="S14" t="str" cm="1">
        <f t="array" ref="S14">_xlfn.IFS(OR(D13="M", D13="Male"), "Male", OR(D13="F", D13="Female"), "Female", TRUE, "Other")</f>
        <v>Other</v>
      </c>
      <c r="U14" t="str">
        <f t="shared" si="1"/>
        <v>ivan Raman</v>
      </c>
      <c r="W14" t="str">
        <f t="shared" si="2"/>
        <v>ivan Raman</v>
      </c>
      <c r="Y14">
        <f t="shared" ca="1" si="3"/>
        <v>36</v>
      </c>
      <c r="AA14" s="5" t="str">
        <f t="shared" ca="1" si="4"/>
        <v>No</v>
      </c>
      <c r="AC14" s="5" t="str">
        <f>RIGHT(TRIM(G13), 6)</f>
        <v>716572</v>
      </c>
      <c r="AE14" t="s">
        <v>10</v>
      </c>
      <c r="AG14">
        <v>36</v>
      </c>
      <c r="AI14" t="str">
        <f>REPLACE(F13, 1, SEARCH("@", F13), "")</f>
        <v>dara.com</v>
      </c>
      <c r="AK14">
        <v>74</v>
      </c>
      <c r="AM14" t="s">
        <v>10</v>
      </c>
    </row>
    <row r="15" spans="1:39" ht="28.8" hidden="1">
      <c r="A15" t="s">
        <v>3425</v>
      </c>
      <c r="B15" t="s">
        <v>68</v>
      </c>
      <c r="C15" s="1">
        <v>34981</v>
      </c>
      <c r="D15" t="s">
        <v>10</v>
      </c>
      <c r="E15">
        <v>913374989413</v>
      </c>
      <c r="F15" t="s">
        <v>69</v>
      </c>
      <c r="G15" s="2" t="s">
        <v>70</v>
      </c>
      <c r="H15">
        <v>5204711671</v>
      </c>
      <c r="I15" t="s">
        <v>71</v>
      </c>
      <c r="J15">
        <v>32</v>
      </c>
      <c r="K15" t="str">
        <f t="shared" ca="1" si="0"/>
        <v>30-60</v>
      </c>
      <c r="M15" t="str">
        <v>Jiya</v>
      </c>
      <c r="N15" t="str">
        <v>Ramaswamy</v>
      </c>
      <c r="P15" t="str">
        <v>Jiya</v>
      </c>
      <c r="Q15" t="str">
        <v>Ramaswamy</v>
      </c>
      <c r="S15" t="str" cm="1">
        <f t="array" ref="S15">_xlfn.IFS(OR(D14="M", D14="Male"), "Male", OR(D14="F", D14="Female"), "Female", TRUE, "Other")</f>
        <v>Male</v>
      </c>
      <c r="U15" t="str">
        <f t="shared" si="1"/>
        <v>jiya Ramaswamy</v>
      </c>
      <c r="W15" t="str">
        <f t="shared" si="2"/>
        <v>jiya Ramaswamy</v>
      </c>
      <c r="Y15">
        <f t="shared" ca="1" si="3"/>
        <v>32</v>
      </c>
      <c r="AA15" s="5" t="str">
        <f t="shared" ca="1" si="4"/>
        <v>No</v>
      </c>
      <c r="AC15" s="5" t="str">
        <f>RIGHT(TRIM(G14), 6)</f>
        <v>363495</v>
      </c>
      <c r="AE15" t="s">
        <v>15</v>
      </c>
      <c r="AG15">
        <v>32</v>
      </c>
      <c r="AI15" t="str">
        <f>REPLACE(F14, 1, SEARCH("@", F14), "")</f>
        <v>gmail.com</v>
      </c>
      <c r="AK15">
        <v>74</v>
      </c>
      <c r="AM15" t="s">
        <v>15</v>
      </c>
    </row>
    <row r="16" spans="1:39" ht="28.8" hidden="1">
      <c r="A16" t="s">
        <v>3426</v>
      </c>
      <c r="B16" t="s">
        <v>72</v>
      </c>
      <c r="C16" s="1">
        <v>36827</v>
      </c>
      <c r="D16" t="s">
        <v>28</v>
      </c>
      <c r="E16">
        <v>9993867749</v>
      </c>
      <c r="F16" t="s">
        <v>73</v>
      </c>
      <c r="G16" s="2" t="s">
        <v>74</v>
      </c>
      <c r="H16">
        <v>3447134936</v>
      </c>
      <c r="I16" t="s">
        <v>75</v>
      </c>
      <c r="J16">
        <v>30</v>
      </c>
      <c r="K16" t="str">
        <f t="shared" ca="1" si="0"/>
        <v>30-60</v>
      </c>
      <c r="M16" t="str">
        <v>Heer</v>
      </c>
      <c r="N16" t="str">
        <v>Singh</v>
      </c>
      <c r="P16" t="str">
        <v>Heer</v>
      </c>
      <c r="Q16" t="str">
        <v>Singh</v>
      </c>
      <c r="S16" t="str" cm="1">
        <f t="array" ref="S16">_xlfn.IFS(OR(D15="M", D15="Male"), "Male", OR(D15="F", D15="Female"), "Female", TRUE, "Other")</f>
        <v>Other</v>
      </c>
      <c r="U16" t="str">
        <f t="shared" si="1"/>
        <v>heer Singh</v>
      </c>
      <c r="W16" t="str">
        <f t="shared" si="2"/>
        <v>heer Singh</v>
      </c>
      <c r="Y16">
        <f t="shared" ca="1" si="3"/>
        <v>30</v>
      </c>
      <c r="AA16" s="5" t="str">
        <f t="shared" ca="1" si="4"/>
        <v>No</v>
      </c>
      <c r="AC16" s="5" t="str">
        <f>RIGHT(TRIM(G15), 6)</f>
        <v>094777</v>
      </c>
      <c r="AE16" t="s">
        <v>10</v>
      </c>
      <c r="AG16">
        <v>30</v>
      </c>
      <c r="AI16" t="str">
        <f>REPLACE(F15, 1, SEARCH("@", F15), "")</f>
        <v>yahoo.com</v>
      </c>
      <c r="AK16">
        <v>74</v>
      </c>
      <c r="AM16" t="s">
        <v>10</v>
      </c>
    </row>
    <row r="17" spans="1:39" ht="28.8">
      <c r="A17" t="s">
        <v>3427</v>
      </c>
      <c r="B17" t="s">
        <v>76</v>
      </c>
      <c r="C17" s="1">
        <v>32616</v>
      </c>
      <c r="D17" t="s">
        <v>15</v>
      </c>
      <c r="E17">
        <v>9471746488</v>
      </c>
      <c r="F17" t="s">
        <v>77</v>
      </c>
      <c r="G17" s="2" t="s">
        <v>78</v>
      </c>
      <c r="H17">
        <v>9671756551</v>
      </c>
      <c r="I17" t="s">
        <v>79</v>
      </c>
      <c r="J17">
        <f ca="1">DATEDIF(C21, TODAY(), "y")</f>
        <v>22</v>
      </c>
      <c r="K17" t="str">
        <f t="shared" ca="1" si="0"/>
        <v>&lt;30</v>
      </c>
      <c r="M17" t="str">
        <v>Fateh</v>
      </c>
      <c r="N17" t="str">
        <v>Mallick</v>
      </c>
      <c r="P17" t="str">
        <v>Fateh</v>
      </c>
      <c r="Q17" t="str">
        <v>Mallick</v>
      </c>
      <c r="S17" t="str" cm="1">
        <f t="array" ref="S17">_xlfn.IFS(OR(D16="M", D16="Male"), "Male", OR(D16="F", D16="Female"), "Female", TRUE, "Other")</f>
        <v>Female</v>
      </c>
      <c r="U17" t="str">
        <f t="shared" si="1"/>
        <v>fateh Mallick</v>
      </c>
      <c r="W17" t="str">
        <f t="shared" si="2"/>
        <v>fateh Mallick</v>
      </c>
      <c r="Y17">
        <f ca="1">DATEDIF(C16, TODAY(), "y")</f>
        <v>25</v>
      </c>
      <c r="AA17" s="5" t="str">
        <f t="shared" ca="1" si="4"/>
        <v>No</v>
      </c>
      <c r="AC17" s="5" t="str">
        <f>RIGHT(TRIM(G16), 6)</f>
        <v>679740</v>
      </c>
      <c r="AE17" t="s">
        <v>28</v>
      </c>
      <c r="AG17">
        <v>25</v>
      </c>
      <c r="AI17" t="str">
        <f>REPLACE(F16, 1, SEARCH("@", F16), "")</f>
        <v>hotmail.com</v>
      </c>
      <c r="AK17">
        <v>74</v>
      </c>
      <c r="AM17" t="s">
        <v>28</v>
      </c>
    </row>
    <row r="18" spans="1:39" ht="43.2" hidden="1">
      <c r="A18" t="s">
        <v>3428</v>
      </c>
      <c r="B18" t="s">
        <v>80</v>
      </c>
      <c r="C18" s="1">
        <v>20015</v>
      </c>
      <c r="D18" t="s">
        <v>15</v>
      </c>
      <c r="E18">
        <v>4516808760</v>
      </c>
      <c r="F18" t="s">
        <v>81</v>
      </c>
      <c r="G18" s="2" t="s">
        <v>82</v>
      </c>
      <c r="H18">
        <v>1712748467</v>
      </c>
      <c r="I18" t="s">
        <v>83</v>
      </c>
      <c r="J18">
        <v>36</v>
      </c>
      <c r="K18" t="str">
        <f t="shared" ca="1" si="0"/>
        <v>30-60</v>
      </c>
      <c r="M18" t="str">
        <v>Vritika</v>
      </c>
      <c r="N18" t="str">
        <v>Dube</v>
      </c>
      <c r="P18" t="str">
        <v>Vritika</v>
      </c>
      <c r="Q18" t="str">
        <v>Dube</v>
      </c>
      <c r="S18" t="str" cm="1">
        <f t="array" ref="S18">_xlfn.IFS(OR(D17="M", D17="Male"), "Male", OR(D17="F", D17="Female"), "Female", TRUE, "Other")</f>
        <v>Male</v>
      </c>
      <c r="U18" t="str">
        <f t="shared" si="1"/>
        <v>vritika Dube</v>
      </c>
      <c r="W18" t="str">
        <f t="shared" si="2"/>
        <v>vritika Dube</v>
      </c>
      <c r="Y18">
        <f t="shared" ca="1" si="3"/>
        <v>36</v>
      </c>
      <c r="AA18" s="5" t="str">
        <f t="shared" ca="1" si="4"/>
        <v>No</v>
      </c>
      <c r="AC18" s="5" t="str">
        <f>RIGHT(TRIM(G17), 6)</f>
        <v>278742</v>
      </c>
      <c r="AE18" t="s">
        <v>15</v>
      </c>
      <c r="AG18">
        <v>36</v>
      </c>
      <c r="AI18" t="str">
        <f>REPLACE(F17, 1, SEARCH("@", F17), "")</f>
        <v>gmail.com</v>
      </c>
      <c r="AK18">
        <v>73</v>
      </c>
      <c r="AM18" t="s">
        <v>15</v>
      </c>
    </row>
    <row r="19" spans="1:39" ht="28.8" hidden="1">
      <c r="A19" t="s">
        <v>3429</v>
      </c>
      <c r="B19" t="s">
        <v>84</v>
      </c>
      <c r="C19" s="1">
        <v>21219</v>
      </c>
      <c r="D19" t="s">
        <v>15</v>
      </c>
      <c r="E19">
        <v>914658404499</v>
      </c>
      <c r="F19" t="s">
        <v>85</v>
      </c>
      <c r="G19" s="2" t="s">
        <v>86</v>
      </c>
      <c r="H19">
        <v>6270289517</v>
      </c>
      <c r="I19" t="s">
        <v>87</v>
      </c>
      <c r="J19">
        <v>71</v>
      </c>
      <c r="K19" t="str">
        <f t="shared" ca="1" si="0"/>
        <v>&gt;60</v>
      </c>
      <c r="M19" t="str">
        <v>Armaan</v>
      </c>
      <c r="N19" t="str">
        <v>Karan</v>
      </c>
      <c r="P19" t="str">
        <v>Armaan</v>
      </c>
      <c r="Q19" t="str">
        <v>Karan</v>
      </c>
      <c r="S19" t="str" cm="1">
        <f t="array" ref="S19">_xlfn.IFS(OR(D18="M", D18="Male"), "Male", OR(D18="F", D18="Female"), "Female", TRUE, "Other")</f>
        <v>Male</v>
      </c>
      <c r="U19" t="str">
        <f t="shared" si="1"/>
        <v>armaan Karan</v>
      </c>
      <c r="W19" t="str">
        <f t="shared" si="2"/>
        <v>armaan Karan</v>
      </c>
      <c r="Y19">
        <f t="shared" ca="1" si="3"/>
        <v>71</v>
      </c>
      <c r="AA19" s="5" t="str">
        <f t="shared" ca="1" si="4"/>
        <v>Yes</v>
      </c>
      <c r="AC19" s="5" t="str">
        <f>RIGHT(TRIM(G18), 6)</f>
        <v>808613</v>
      </c>
      <c r="AE19" t="s">
        <v>15</v>
      </c>
      <c r="AG19">
        <v>71</v>
      </c>
      <c r="AI19" t="str">
        <f>REPLACE(F18, 1, SEARCH("@", F18), "")</f>
        <v>chaudry.net</v>
      </c>
      <c r="AK19">
        <v>73</v>
      </c>
      <c r="AM19" t="s">
        <v>15</v>
      </c>
    </row>
    <row r="20" spans="1:39" hidden="1">
      <c r="A20" t="s">
        <v>3430</v>
      </c>
      <c r="B20" t="s">
        <v>88</v>
      </c>
      <c r="C20" s="1">
        <v>37251</v>
      </c>
      <c r="D20" t="s">
        <v>15</v>
      </c>
      <c r="E20">
        <v>5961586578</v>
      </c>
      <c r="F20" t="s">
        <v>89</v>
      </c>
      <c r="G20" t="s">
        <v>90</v>
      </c>
      <c r="H20">
        <v>9222196937</v>
      </c>
      <c r="I20" t="s">
        <v>91</v>
      </c>
      <c r="J20">
        <v>68</v>
      </c>
      <c r="K20" t="str">
        <f t="shared" ca="1" si="0"/>
        <v>&gt;60</v>
      </c>
      <c r="M20" t="str">
        <v>Siya</v>
      </c>
      <c r="N20" t="str">
        <v>Wable</v>
      </c>
      <c r="P20" t="str">
        <v>Siya</v>
      </c>
      <c r="Q20" t="str">
        <v>Wable</v>
      </c>
      <c r="S20" t="str" cm="1">
        <f t="array" ref="S20">_xlfn.IFS(OR(D19="M", D19="Male"), "Male", OR(D19="F", D19="Female"), "Female", TRUE, "Other")</f>
        <v>Male</v>
      </c>
      <c r="U20" t="str">
        <f t="shared" si="1"/>
        <v>siya Wable</v>
      </c>
      <c r="W20" t="str">
        <f t="shared" si="2"/>
        <v>siya Wable</v>
      </c>
      <c r="Y20">
        <f t="shared" ca="1" si="3"/>
        <v>68</v>
      </c>
      <c r="AA20" s="5" t="str">
        <f t="shared" ca="1" si="4"/>
        <v>Yes</v>
      </c>
      <c r="AC20" s="5" t="str">
        <f>RIGHT(TRIM(G19), 6)</f>
        <v>360576</v>
      </c>
      <c r="AE20" t="s">
        <v>15</v>
      </c>
      <c r="AG20">
        <v>68</v>
      </c>
      <c r="AI20" t="str">
        <f>REPLACE(F19, 1, SEARCH("@", F19), "")</f>
        <v>yahoo.com</v>
      </c>
      <c r="AK20">
        <v>73</v>
      </c>
      <c r="AM20" t="s">
        <v>15</v>
      </c>
    </row>
    <row r="21" spans="1:39" ht="43.2" hidden="1">
      <c r="A21" t="s">
        <v>3431</v>
      </c>
      <c r="B21" t="s">
        <v>92</v>
      </c>
      <c r="C21" s="1">
        <v>37826</v>
      </c>
      <c r="D21" t="s">
        <v>15</v>
      </c>
      <c r="E21">
        <v>4821759464</v>
      </c>
      <c r="F21" t="s">
        <v>93</v>
      </c>
      <c r="G21" s="2" t="s">
        <v>94</v>
      </c>
      <c r="H21">
        <v>9533942104</v>
      </c>
      <c r="I21" t="s">
        <v>95</v>
      </c>
      <c r="J21">
        <v>24</v>
      </c>
      <c r="K21" t="str">
        <f t="shared" ca="1" si="0"/>
        <v>&lt;30</v>
      </c>
      <c r="M21" t="str">
        <v>Dhanuk</v>
      </c>
      <c r="N21" t="str">
        <v>Keer</v>
      </c>
      <c r="P21" t="str">
        <v>Dhanuk</v>
      </c>
      <c r="Q21" t="str">
        <v>Keer</v>
      </c>
      <c r="S21" t="str" cm="1">
        <f t="array" ref="S21">_xlfn.IFS(OR(D20="M", D20="Male"), "Male", OR(D20="F", D20="Female"), "Female", TRUE, "Other")</f>
        <v>Male</v>
      </c>
      <c r="U21" t="str">
        <f t="shared" si="1"/>
        <v>dhanuk Keer</v>
      </c>
      <c r="W21" t="str">
        <f t="shared" si="2"/>
        <v>dhanuk Keer</v>
      </c>
      <c r="Y21">
        <f t="shared" ca="1" si="3"/>
        <v>24</v>
      </c>
      <c r="AA21" s="5" t="str">
        <f t="shared" ca="1" si="4"/>
        <v>No</v>
      </c>
      <c r="AC21" s="5" t="str">
        <f>RIGHT(TRIM(G20), 6)</f>
        <v>562386</v>
      </c>
      <c r="AE21" t="s">
        <v>15</v>
      </c>
      <c r="AG21">
        <v>24</v>
      </c>
      <c r="AI21" t="str">
        <f>REPLACE(F20, 1, SEARCH("@", F20), "")</f>
        <v>dhawan.com</v>
      </c>
      <c r="AK21">
        <v>73</v>
      </c>
      <c r="AM21" t="s">
        <v>15</v>
      </c>
    </row>
    <row r="22" spans="1:39" hidden="1">
      <c r="A22" t="s">
        <v>3432</v>
      </c>
      <c r="B22" t="s">
        <v>100</v>
      </c>
      <c r="C22" s="1">
        <v>31187</v>
      </c>
      <c r="D22" t="s">
        <v>10</v>
      </c>
      <c r="E22">
        <v>916758692617</v>
      </c>
      <c r="F22" t="s">
        <v>101</v>
      </c>
      <c r="G22" t="s">
        <v>102</v>
      </c>
      <c r="H22">
        <v>9005329318</v>
      </c>
      <c r="I22" t="s">
        <v>103</v>
      </c>
      <c r="J22">
        <v>22</v>
      </c>
      <c r="K22" t="str">
        <f t="shared" ca="1" si="0"/>
        <v>&lt;30</v>
      </c>
      <c r="M22" t="str">
        <v>Aayush</v>
      </c>
      <c r="N22" t="str">
        <v>Yogi</v>
      </c>
      <c r="P22" t="str">
        <v>Aayush</v>
      </c>
      <c r="Q22" t="str">
        <v>Yogi</v>
      </c>
      <c r="S22" t="str" cm="1">
        <f t="array" ref="S22">_xlfn.IFS(OR(D21="M", D21="Male"), "Male", OR(D21="F", D21="Female"), "Female", TRUE, "Other")</f>
        <v>Male</v>
      </c>
      <c r="U22" t="str">
        <f t="shared" si="1"/>
        <v>aayush Yogi</v>
      </c>
      <c r="W22" t="str">
        <f t="shared" si="2"/>
        <v>aayush Yogi</v>
      </c>
      <c r="Y22">
        <f t="shared" ca="1" si="3"/>
        <v>22</v>
      </c>
      <c r="AA22" s="5" t="str">
        <f t="shared" ca="1" si="4"/>
        <v>No</v>
      </c>
      <c r="AC22" s="5" t="str">
        <f>RIGHT(TRIM(G21), 6)</f>
        <v>909743</v>
      </c>
      <c r="AE22" t="s">
        <v>15</v>
      </c>
      <c r="AG22">
        <v>22</v>
      </c>
      <c r="AI22" t="str">
        <f>REPLACE(F21, 1, SEARCH("@", F21), "")</f>
        <v>gmail.com</v>
      </c>
      <c r="AK22">
        <v>73</v>
      </c>
      <c r="AM22" t="s">
        <v>15</v>
      </c>
    </row>
    <row r="23" spans="1:39" ht="43.2" hidden="1">
      <c r="A23" t="s">
        <v>3433</v>
      </c>
      <c r="B23" t="s">
        <v>104</v>
      </c>
      <c r="C23" s="1">
        <v>21423</v>
      </c>
      <c r="D23" t="s">
        <v>15</v>
      </c>
      <c r="E23">
        <v>918421020539</v>
      </c>
      <c r="F23" t="s">
        <v>105</v>
      </c>
      <c r="G23" s="2" t="s">
        <v>106</v>
      </c>
      <c r="H23">
        <v>766177115</v>
      </c>
      <c r="I23" t="s">
        <v>107</v>
      </c>
      <c r="J23">
        <v>40</v>
      </c>
      <c r="K23" t="str">
        <f t="shared" ca="1" si="0"/>
        <v>30-60</v>
      </c>
      <c r="M23" t="str">
        <v>Miraan</v>
      </c>
      <c r="N23" t="str">
        <v>Wali</v>
      </c>
      <c r="P23" t="str">
        <v>Miraan</v>
      </c>
      <c r="Q23" t="str">
        <v>Wali</v>
      </c>
      <c r="S23" t="str" cm="1">
        <f t="array" ref="S23">_xlfn.IFS(OR(D22="M", D22="Male"), "Male", OR(D22="F", D22="Female"), "Female", TRUE, "Other")</f>
        <v>Other</v>
      </c>
      <c r="U23" t="str">
        <f t="shared" si="1"/>
        <v>miraan Wali</v>
      </c>
      <c r="W23" t="str">
        <f t="shared" si="2"/>
        <v>miraan Wali</v>
      </c>
      <c r="Y23">
        <f t="shared" ca="1" si="3"/>
        <v>40</v>
      </c>
      <c r="AA23" s="5" t="str">
        <f t="shared" ca="1" si="4"/>
        <v>No</v>
      </c>
      <c r="AC23" s="5" t="str">
        <f>RIGHT(TRIM(G22), 6)</f>
        <v>431713</v>
      </c>
      <c r="AE23" t="s">
        <v>10</v>
      </c>
      <c r="AG23">
        <v>40</v>
      </c>
      <c r="AI23" t="str">
        <f>REPLACE(F22, 1, SEARCH("@", F22), "")</f>
        <v>yahoo.com</v>
      </c>
      <c r="AK23">
        <v>73</v>
      </c>
      <c r="AM23" t="s">
        <v>10</v>
      </c>
    </row>
    <row r="24" spans="1:39" ht="28.8" hidden="1">
      <c r="A24" t="s">
        <v>3434</v>
      </c>
      <c r="B24" t="s">
        <v>108</v>
      </c>
      <c r="C24" s="1">
        <v>27294</v>
      </c>
      <c r="D24" t="s">
        <v>10</v>
      </c>
      <c r="E24">
        <v>8478961183</v>
      </c>
      <c r="F24" t="s">
        <v>109</v>
      </c>
      <c r="G24" s="2" t="s">
        <v>110</v>
      </c>
      <c r="H24">
        <v>6152809885</v>
      </c>
      <c r="I24" t="s">
        <v>111</v>
      </c>
      <c r="J24">
        <v>67</v>
      </c>
      <c r="K24" t="str">
        <f t="shared" ca="1" si="0"/>
        <v>&gt;60</v>
      </c>
      <c r="M24" t="str">
        <v>Aarav</v>
      </c>
      <c r="N24" t="str">
        <v>Devi</v>
      </c>
      <c r="P24" t="str">
        <v>Aarav</v>
      </c>
      <c r="Q24" t="str">
        <v>Devi</v>
      </c>
      <c r="S24" t="str" cm="1">
        <f t="array" ref="S24">_xlfn.IFS(OR(D23="M", D23="Male"), "Male", OR(D23="F", D23="Female"), "Female", TRUE, "Other")</f>
        <v>Male</v>
      </c>
      <c r="U24" t="str">
        <f t="shared" si="1"/>
        <v>aarav Devi</v>
      </c>
      <c r="W24" t="str">
        <f t="shared" si="2"/>
        <v>aarav Devi</v>
      </c>
      <c r="Y24">
        <f t="shared" ca="1" si="3"/>
        <v>67</v>
      </c>
      <c r="AA24" s="5" t="str">
        <f t="shared" ca="1" si="4"/>
        <v>Yes</v>
      </c>
      <c r="AC24" s="5" t="str">
        <f>RIGHT(TRIM(G23), 6)</f>
        <v>908470</v>
      </c>
      <c r="AE24" t="s">
        <v>15</v>
      </c>
      <c r="AG24">
        <v>67</v>
      </c>
      <c r="AI24" t="str">
        <f>REPLACE(F23, 1, SEARCH("@", F23), "")</f>
        <v>gmail.com</v>
      </c>
      <c r="AK24">
        <v>73</v>
      </c>
      <c r="AM24" t="s">
        <v>15</v>
      </c>
    </row>
    <row r="25" spans="1:39" ht="43.2" hidden="1">
      <c r="A25" t="s">
        <v>3435</v>
      </c>
      <c r="B25" t="s">
        <v>112</v>
      </c>
      <c r="C25" s="1">
        <v>32191</v>
      </c>
      <c r="D25" t="s">
        <v>15</v>
      </c>
      <c r="E25">
        <v>3273158514</v>
      </c>
      <c r="F25" t="s">
        <v>113</v>
      </c>
      <c r="G25" s="2" t="s">
        <v>114</v>
      </c>
      <c r="H25">
        <v>8366752545</v>
      </c>
      <c r="I25" t="s">
        <v>115</v>
      </c>
      <c r="J25">
        <v>51</v>
      </c>
      <c r="K25" t="str">
        <f t="shared" ca="1" si="0"/>
        <v>30-60</v>
      </c>
      <c r="M25" t="str">
        <v>Riya</v>
      </c>
      <c r="N25" t="str">
        <v>Gaba</v>
      </c>
      <c r="P25" t="str">
        <v>Riya</v>
      </c>
      <c r="Q25" t="str">
        <v>Gaba</v>
      </c>
      <c r="S25" t="str" cm="1">
        <f t="array" ref="S25">_xlfn.IFS(OR(D24="M", D24="Male"), "Male", OR(D24="F", D24="Female"), "Female", TRUE, "Other")</f>
        <v>Other</v>
      </c>
      <c r="U25" t="str">
        <f t="shared" si="1"/>
        <v>riya Gaba</v>
      </c>
      <c r="W25" t="str">
        <f t="shared" si="2"/>
        <v>riya Gaba</v>
      </c>
      <c r="Y25">
        <f t="shared" ca="1" si="3"/>
        <v>51</v>
      </c>
      <c r="AA25" s="5" t="str">
        <f t="shared" ca="1" si="4"/>
        <v>No</v>
      </c>
      <c r="AC25" s="5" t="str">
        <f>RIGHT(TRIM(G24), 6)</f>
        <v>271111</v>
      </c>
      <c r="AE25" t="s">
        <v>10</v>
      </c>
      <c r="AG25">
        <v>51</v>
      </c>
      <c r="AI25" t="str">
        <f>REPLACE(F24, 1, SEARCH("@", F24), "")</f>
        <v>yahoo.com</v>
      </c>
      <c r="AK25">
        <v>72</v>
      </c>
      <c r="AM25" t="s">
        <v>10</v>
      </c>
    </row>
    <row r="26" spans="1:39" ht="28.8" hidden="1">
      <c r="A26" t="s">
        <v>3436</v>
      </c>
      <c r="B26" t="s">
        <v>116</v>
      </c>
      <c r="C26" s="1">
        <v>24590</v>
      </c>
      <c r="D26" t="s">
        <v>10</v>
      </c>
      <c r="E26">
        <v>6797643815</v>
      </c>
      <c r="F26" t="s">
        <v>117</v>
      </c>
      <c r="G26" s="2" t="s">
        <v>118</v>
      </c>
      <c r="H26">
        <v>7622683885</v>
      </c>
      <c r="I26" t="s">
        <v>119</v>
      </c>
      <c r="J26">
        <v>38</v>
      </c>
      <c r="K26" t="str">
        <f t="shared" ca="1" si="0"/>
        <v>30-60</v>
      </c>
      <c r="M26" t="str">
        <v>Sumer</v>
      </c>
      <c r="N26" t="str">
        <v>Ben</v>
      </c>
      <c r="P26" t="str">
        <v>Sumer</v>
      </c>
      <c r="Q26" t="str">
        <v>Ben</v>
      </c>
      <c r="S26" t="str" cm="1">
        <f t="array" ref="S26">_xlfn.IFS(OR(D25="M", D25="Male"), "Male", OR(D25="F", D25="Female"), "Female", TRUE, "Other")</f>
        <v>Male</v>
      </c>
      <c r="U26" t="str">
        <f t="shared" si="1"/>
        <v>sumer Ben</v>
      </c>
      <c r="W26" t="str">
        <f t="shared" si="2"/>
        <v>sumer Ben</v>
      </c>
      <c r="Y26">
        <f t="shared" ca="1" si="3"/>
        <v>38</v>
      </c>
      <c r="AA26" s="5" t="str">
        <f t="shared" ca="1" si="4"/>
        <v>No</v>
      </c>
      <c r="AC26" s="5" t="str">
        <f>RIGHT(TRIM(G25), 6)</f>
        <v>961201</v>
      </c>
      <c r="AE26" t="s">
        <v>15</v>
      </c>
      <c r="AG26">
        <v>38</v>
      </c>
      <c r="AI26" t="str">
        <f>REPLACE(F25, 1, SEARCH("@", F25), "")</f>
        <v>rana.net</v>
      </c>
      <c r="AK26">
        <v>71</v>
      </c>
      <c r="AM26" t="s">
        <v>15</v>
      </c>
    </row>
    <row r="27" spans="1:39" ht="43.2" hidden="1">
      <c r="A27" t="s">
        <v>3437</v>
      </c>
      <c r="B27" t="s">
        <v>120</v>
      </c>
      <c r="C27" s="1">
        <v>27878</v>
      </c>
      <c r="D27" t="s">
        <v>10</v>
      </c>
      <c r="E27">
        <v>6416052975</v>
      </c>
      <c r="F27" t="s">
        <v>121</v>
      </c>
      <c r="G27" s="2" t="s">
        <v>122</v>
      </c>
      <c r="H27">
        <v>3124329212</v>
      </c>
      <c r="I27" t="s">
        <v>123</v>
      </c>
      <c r="J27">
        <v>58</v>
      </c>
      <c r="K27" t="str">
        <f t="shared" ca="1" si="0"/>
        <v>30-60</v>
      </c>
      <c r="M27" t="str">
        <v>Pari</v>
      </c>
      <c r="N27" t="str">
        <v>Baria</v>
      </c>
      <c r="P27" t="str">
        <v>Pari</v>
      </c>
      <c r="Q27" t="str">
        <v>Baria</v>
      </c>
      <c r="S27" t="str" cm="1">
        <f t="array" ref="S27">_xlfn.IFS(OR(D26="M", D26="Male"), "Male", OR(D26="F", D26="Female"), "Female", TRUE, "Other")</f>
        <v>Other</v>
      </c>
      <c r="U27" t="str">
        <f t="shared" si="1"/>
        <v>pari Baria</v>
      </c>
      <c r="W27" t="str">
        <f t="shared" si="2"/>
        <v>pari Baria</v>
      </c>
      <c r="Y27">
        <f t="shared" ca="1" si="3"/>
        <v>58</v>
      </c>
      <c r="AA27" s="5" t="str">
        <f t="shared" ca="1" si="4"/>
        <v>No</v>
      </c>
      <c r="AC27" s="5" t="str">
        <f>RIGHT(TRIM(G26), 6)</f>
        <v>244510</v>
      </c>
      <c r="AE27" t="s">
        <v>10</v>
      </c>
      <c r="AG27">
        <v>58</v>
      </c>
      <c r="AI27" t="str">
        <f>REPLACE(F26, 1, SEARCH("@", F26), "")</f>
        <v>hotmail.com</v>
      </c>
      <c r="AK27">
        <v>71</v>
      </c>
      <c r="AM27" t="s">
        <v>10</v>
      </c>
    </row>
    <row r="28" spans="1:39" ht="43.2" hidden="1">
      <c r="A28" t="s">
        <v>3438</v>
      </c>
      <c r="B28" t="s">
        <v>124</v>
      </c>
      <c r="C28" s="1">
        <v>33416</v>
      </c>
      <c r="D28" t="s">
        <v>10</v>
      </c>
      <c r="E28">
        <v>2717744905</v>
      </c>
      <c r="F28" t="s">
        <v>125</v>
      </c>
      <c r="G28" s="2" t="s">
        <v>126</v>
      </c>
      <c r="H28">
        <v>1820377889</v>
      </c>
      <c r="I28" t="s">
        <v>127</v>
      </c>
      <c r="J28">
        <v>49</v>
      </c>
      <c r="K28" t="str">
        <f t="shared" ca="1" si="0"/>
        <v>30-60</v>
      </c>
      <c r="M28" t="str">
        <v>Aaryahi</v>
      </c>
      <c r="N28" t="str">
        <v>Mangat</v>
      </c>
      <c r="P28" t="str">
        <v>Aaryahi</v>
      </c>
      <c r="Q28" t="str">
        <v>Mangat</v>
      </c>
      <c r="S28" t="str" cm="1">
        <f t="array" ref="S28">_xlfn.IFS(OR(D27="M", D27="Male"), "Male", OR(D27="F", D27="Female"), "Female", TRUE, "Other")</f>
        <v>Other</v>
      </c>
      <c r="U28" t="str">
        <f t="shared" si="1"/>
        <v>aaryahi Mangat</v>
      </c>
      <c r="W28" t="str">
        <f t="shared" si="2"/>
        <v>aaryahi Mangat</v>
      </c>
      <c r="Y28">
        <f t="shared" ca="1" si="3"/>
        <v>49</v>
      </c>
      <c r="AA28" s="5" t="str">
        <f t="shared" ca="1" si="4"/>
        <v>No</v>
      </c>
      <c r="AC28" s="5" t="str">
        <f>RIGHT(TRIM(G27), 6)</f>
        <v>883552</v>
      </c>
      <c r="AE28" t="s">
        <v>10</v>
      </c>
      <c r="AG28">
        <v>49</v>
      </c>
      <c r="AI28" t="str">
        <f>REPLACE(F27, 1, SEARCH("@", F27), "")</f>
        <v>kamdar.biz</v>
      </c>
      <c r="AK28">
        <v>71</v>
      </c>
      <c r="AM28" t="s">
        <v>10</v>
      </c>
    </row>
    <row r="29" spans="1:39" ht="28.8" hidden="1">
      <c r="A29" t="s">
        <v>3439</v>
      </c>
      <c r="B29" t="s">
        <v>128</v>
      </c>
      <c r="C29" s="1">
        <v>37443</v>
      </c>
      <c r="D29" t="s">
        <v>10</v>
      </c>
      <c r="E29">
        <v>5151864492</v>
      </c>
      <c r="F29" t="s">
        <v>129</v>
      </c>
      <c r="G29" s="2" t="s">
        <v>130</v>
      </c>
      <c r="H29">
        <v>2357332214</v>
      </c>
      <c r="I29" t="s">
        <v>131</v>
      </c>
      <c r="J29">
        <v>34</v>
      </c>
      <c r="K29" t="str">
        <f t="shared" ca="1" si="0"/>
        <v>30-60</v>
      </c>
      <c r="M29" t="str">
        <v>Misha</v>
      </c>
      <c r="N29" t="str">
        <v>Edwin</v>
      </c>
      <c r="P29" t="str">
        <v>Misha</v>
      </c>
      <c r="Q29" t="str">
        <v>Edwin</v>
      </c>
      <c r="S29" t="str" cm="1">
        <f t="array" ref="S29">_xlfn.IFS(OR(D28="M", D28="Male"), "Male", OR(D28="F", D28="Female"), "Female", TRUE, "Other")</f>
        <v>Other</v>
      </c>
      <c r="U29" t="str">
        <f t="shared" si="1"/>
        <v>misha Edwin</v>
      </c>
      <c r="W29" t="str">
        <f t="shared" si="2"/>
        <v>misha Edwin</v>
      </c>
      <c r="Y29">
        <f t="shared" ca="1" si="3"/>
        <v>34</v>
      </c>
      <c r="AA29" s="5" t="str">
        <f t="shared" ca="1" si="4"/>
        <v>No</v>
      </c>
      <c r="AC29" s="5" t="str">
        <f>RIGHT(TRIM(G28), 6)</f>
        <v>820715</v>
      </c>
      <c r="AE29" t="s">
        <v>10</v>
      </c>
      <c r="AG29">
        <v>34</v>
      </c>
      <c r="AI29" t="str">
        <f>REPLACE(F28, 1, SEARCH("@", F28), "")</f>
        <v>gour.com</v>
      </c>
      <c r="AK29">
        <v>71</v>
      </c>
      <c r="AM29" t="s">
        <v>10</v>
      </c>
    </row>
    <row r="30" spans="1:39" ht="28.8" hidden="1">
      <c r="A30" t="s">
        <v>3440</v>
      </c>
      <c r="B30" t="s">
        <v>132</v>
      </c>
      <c r="C30" s="1">
        <v>27190</v>
      </c>
      <c r="D30" t="s">
        <v>28</v>
      </c>
      <c r="E30">
        <v>912292706537</v>
      </c>
      <c r="F30" t="s">
        <v>133</v>
      </c>
      <c r="G30" s="2" t="s">
        <v>134</v>
      </c>
      <c r="H30">
        <v>7581814124</v>
      </c>
      <c r="I30" t="s">
        <v>135</v>
      </c>
      <c r="J30">
        <v>23</v>
      </c>
      <c r="K30" t="str">
        <f t="shared" ca="1" si="0"/>
        <v>&lt;30</v>
      </c>
      <c r="M30" t="str">
        <v>Kismat</v>
      </c>
      <c r="N30" t="str">
        <v>Bal</v>
      </c>
      <c r="P30" t="str">
        <v>Kismat</v>
      </c>
      <c r="Q30" t="str">
        <v>Bal</v>
      </c>
      <c r="S30" t="str" cm="1">
        <f t="array" ref="S30">_xlfn.IFS(OR(D29="M", D29="Male"), "Male", OR(D29="F", D29="Female"), "Female", TRUE, "Other")</f>
        <v>Other</v>
      </c>
      <c r="U30" t="str">
        <f t="shared" si="1"/>
        <v>kismat Bal</v>
      </c>
      <c r="W30" t="str">
        <f t="shared" si="2"/>
        <v>kismat Bal</v>
      </c>
      <c r="Y30">
        <f t="shared" ca="1" si="3"/>
        <v>23</v>
      </c>
      <c r="AA30" s="5" t="str">
        <f t="shared" ca="1" si="4"/>
        <v>No</v>
      </c>
      <c r="AC30" s="5" t="str">
        <f>RIGHT(TRIM(G29), 6)</f>
        <v>685054</v>
      </c>
      <c r="AE30" t="s">
        <v>10</v>
      </c>
      <c r="AG30">
        <v>23</v>
      </c>
      <c r="AI30" t="str">
        <f>REPLACE(F29, 1, SEARCH("@", F29), "")</f>
        <v>gmail.com</v>
      </c>
      <c r="AK30">
        <v>70</v>
      </c>
      <c r="AM30" t="s">
        <v>10</v>
      </c>
    </row>
    <row r="31" spans="1:39" ht="28.8">
      <c r="A31" t="s">
        <v>3441</v>
      </c>
      <c r="B31" t="s">
        <v>136</v>
      </c>
      <c r="C31" s="1">
        <v>27680</v>
      </c>
      <c r="D31" t="s">
        <v>15</v>
      </c>
      <c r="E31">
        <v>5361530515</v>
      </c>
      <c r="F31" t="s">
        <v>137</v>
      </c>
      <c r="G31" s="2" t="s">
        <v>138</v>
      </c>
      <c r="H31">
        <v>3697117980</v>
      </c>
      <c r="I31" t="s">
        <v>139</v>
      </c>
      <c r="J31">
        <f ca="1">DATEDIF(C35, TODAY(), "y")</f>
        <v>57</v>
      </c>
      <c r="K31" t="str">
        <f t="shared" ca="1" si="0"/>
        <v>30-60</v>
      </c>
      <c r="M31" t="str">
        <v>Hansh</v>
      </c>
      <c r="N31" t="str">
        <v>Raju</v>
      </c>
      <c r="P31" t="str">
        <v>Hansh</v>
      </c>
      <c r="Q31" t="str">
        <v>Raju</v>
      </c>
      <c r="S31" t="str" cm="1">
        <f t="array" ref="S31">_xlfn.IFS(OR(D30="M", D30="Male"), "Male", OR(D30="F", D30="Female"), "Female", TRUE, "Other")</f>
        <v>Female</v>
      </c>
      <c r="U31" t="str">
        <f t="shared" si="1"/>
        <v>hansh Raju</v>
      </c>
      <c r="W31" t="str">
        <f t="shared" si="2"/>
        <v>hansh Raju</v>
      </c>
      <c r="Y31">
        <f t="shared" ca="1" si="3"/>
        <v>51</v>
      </c>
      <c r="AA31" s="5" t="str">
        <f t="shared" ca="1" si="4"/>
        <v>No</v>
      </c>
      <c r="AC31" s="5" t="str">
        <f>RIGHT(TRIM(G30), 6)</f>
        <v>239240</v>
      </c>
      <c r="AE31" t="s">
        <v>28</v>
      </c>
      <c r="AG31">
        <v>51</v>
      </c>
      <c r="AI31" t="str">
        <f>REPLACE(F30, 1, SEARCH("@", F30), "")</f>
        <v>gmail.com</v>
      </c>
      <c r="AK31">
        <v>70</v>
      </c>
      <c r="AM31" t="s">
        <v>28</v>
      </c>
    </row>
    <row r="32" spans="1:39" ht="28.8" hidden="1">
      <c r="A32" t="s">
        <v>3442</v>
      </c>
      <c r="B32" t="s">
        <v>140</v>
      </c>
      <c r="C32" s="1">
        <v>28180</v>
      </c>
      <c r="D32" t="s">
        <v>28</v>
      </c>
      <c r="E32">
        <v>911851888880</v>
      </c>
      <c r="F32" t="s">
        <v>141</v>
      </c>
      <c r="G32" s="2" t="s">
        <v>142</v>
      </c>
      <c r="H32">
        <v>2217043030</v>
      </c>
      <c r="I32" t="s">
        <v>143</v>
      </c>
      <c r="J32">
        <v>50</v>
      </c>
      <c r="K32" t="str">
        <f t="shared" ca="1" si="0"/>
        <v>30-60</v>
      </c>
      <c r="M32" t="str">
        <v>Zeeshan</v>
      </c>
      <c r="N32" t="str">
        <v>Bala</v>
      </c>
      <c r="P32" t="str">
        <v>Zeeshan</v>
      </c>
      <c r="Q32" t="str">
        <v>Bala</v>
      </c>
      <c r="S32" t="str" cm="1">
        <f t="array" ref="S32">_xlfn.IFS(OR(D31="M", D31="Male"), "Male", OR(D31="F", D31="Female"), "Female", TRUE, "Other")</f>
        <v>Male</v>
      </c>
      <c r="U32" t="str">
        <f t="shared" si="1"/>
        <v>zeeshan Bala</v>
      </c>
      <c r="W32" t="str">
        <f t="shared" si="2"/>
        <v>zeeshan Bala</v>
      </c>
      <c r="Y32">
        <f t="shared" ca="1" si="3"/>
        <v>50</v>
      </c>
      <c r="AA32" s="5" t="str">
        <f t="shared" ca="1" si="4"/>
        <v>No</v>
      </c>
      <c r="AC32" s="5" t="str">
        <f>RIGHT(TRIM(G31), 6)</f>
        <v>143410</v>
      </c>
      <c r="AE32" t="s">
        <v>15</v>
      </c>
      <c r="AG32">
        <v>50</v>
      </c>
      <c r="AI32" t="str">
        <f>REPLACE(F31, 1, SEARCH("@", F31), "")</f>
        <v>sarin-thakur.com</v>
      </c>
      <c r="AK32">
        <v>70</v>
      </c>
      <c r="AM32" t="s">
        <v>15</v>
      </c>
    </row>
    <row r="33" spans="1:39" ht="43.2">
      <c r="A33" t="s">
        <v>3443</v>
      </c>
      <c r="B33" t="s">
        <v>144</v>
      </c>
      <c r="C33" s="1">
        <v>24938</v>
      </c>
      <c r="D33" t="s">
        <v>10</v>
      </c>
      <c r="E33">
        <v>541566765</v>
      </c>
      <c r="F33" t="s">
        <v>145</v>
      </c>
      <c r="G33" s="2" t="s">
        <v>146</v>
      </c>
      <c r="H33">
        <v>2757059640</v>
      </c>
      <c r="I33" t="s">
        <v>147</v>
      </c>
      <c r="J33">
        <f ca="1">DATEDIF(C37, TODAY(), "y")</f>
        <v>25</v>
      </c>
      <c r="K33" t="str">
        <f t="shared" ca="1" si="0"/>
        <v>30-60</v>
      </c>
      <c r="M33" t="str">
        <v>Nakul</v>
      </c>
      <c r="N33" t="str">
        <v>Mangal</v>
      </c>
      <c r="P33" t="str">
        <v>Nakul</v>
      </c>
      <c r="Q33" t="str">
        <v>Mangal</v>
      </c>
      <c r="S33" t="str" cm="1">
        <f t="array" ref="S33">_xlfn.IFS(OR(D32="M", D32="Male"), "Male", OR(D32="F", D32="Female"), "Female", TRUE, "Other")</f>
        <v>Female</v>
      </c>
      <c r="U33" t="str">
        <f t="shared" si="1"/>
        <v>nakul Mangal</v>
      </c>
      <c r="W33" t="str">
        <f t="shared" si="2"/>
        <v>nakul Mangal</v>
      </c>
      <c r="Y33">
        <f t="shared" ca="1" si="3"/>
        <v>49</v>
      </c>
      <c r="AA33" s="5" t="str">
        <f t="shared" ca="1" si="4"/>
        <v>No</v>
      </c>
      <c r="AC33" s="5" t="str">
        <f>RIGHT(TRIM(G32), 6)</f>
        <v>585277</v>
      </c>
      <c r="AE33" t="s">
        <v>28</v>
      </c>
      <c r="AG33">
        <v>49</v>
      </c>
      <c r="AI33" t="str">
        <f>REPLACE(F32, 1, SEARCH("@", F32), "")</f>
        <v>yahoo.com</v>
      </c>
      <c r="AK33">
        <v>69</v>
      </c>
      <c r="AM33" t="s">
        <v>28</v>
      </c>
    </row>
    <row r="34" spans="1:39" ht="43.2" hidden="1">
      <c r="A34" t="s">
        <v>3444</v>
      </c>
      <c r="B34" t="s">
        <v>148</v>
      </c>
      <c r="C34" s="1">
        <v>32928</v>
      </c>
      <c r="D34" t="s">
        <v>28</v>
      </c>
      <c r="E34">
        <v>7021355690</v>
      </c>
      <c r="F34" t="s">
        <v>149</v>
      </c>
      <c r="G34" s="2" t="s">
        <v>150</v>
      </c>
      <c r="H34">
        <v>7394731217</v>
      </c>
      <c r="I34" t="s">
        <v>151</v>
      </c>
      <c r="J34">
        <v>58</v>
      </c>
      <c r="K34" t="str">
        <f t="shared" ca="1" si="0"/>
        <v>30-60</v>
      </c>
      <c r="M34" t="str">
        <v>Neelofar</v>
      </c>
      <c r="N34" t="str">
        <v>Chandran</v>
      </c>
      <c r="P34" t="str">
        <v>Neelofar</v>
      </c>
      <c r="Q34" t="str">
        <v>Chandran</v>
      </c>
      <c r="S34" t="str" cm="1">
        <f t="array" ref="S34">_xlfn.IFS(OR(D33="M", D33="Male"), "Male", OR(D33="F", D33="Female"), "Female", TRUE, "Other")</f>
        <v>Other</v>
      </c>
      <c r="U34" t="str">
        <f t="shared" si="1"/>
        <v>neelofar Chandran</v>
      </c>
      <c r="W34" t="str">
        <f t="shared" si="2"/>
        <v>neelofar Chandran</v>
      </c>
      <c r="Y34">
        <f t="shared" ca="1" si="3"/>
        <v>58</v>
      </c>
      <c r="AA34" s="5" t="str">
        <f t="shared" ca="1" si="4"/>
        <v>No</v>
      </c>
      <c r="AC34" s="5" t="str">
        <f>RIGHT(TRIM(G33), 6)</f>
        <v>544796</v>
      </c>
      <c r="AE34" t="s">
        <v>10</v>
      </c>
      <c r="AG34">
        <v>58</v>
      </c>
      <c r="AI34" t="str">
        <f>REPLACE(F33, 1, SEARCH("@", F33), "")</f>
        <v>sur-lad.com</v>
      </c>
      <c r="AK34">
        <v>69</v>
      </c>
      <c r="AM34" t="s">
        <v>10</v>
      </c>
    </row>
    <row r="35" spans="1:39" ht="28.8">
      <c r="A35" t="s">
        <v>3445</v>
      </c>
      <c r="B35" t="s">
        <v>152</v>
      </c>
      <c r="C35" s="1">
        <v>25282</v>
      </c>
      <c r="D35" t="s">
        <v>15</v>
      </c>
      <c r="E35">
        <v>912583132370</v>
      </c>
      <c r="F35" t="s">
        <v>153</v>
      </c>
      <c r="G35" s="2" t="s">
        <v>154</v>
      </c>
      <c r="H35">
        <v>5289226801</v>
      </c>
      <c r="I35" t="s">
        <v>155</v>
      </c>
      <c r="J35">
        <f ca="1">DATEDIF(C39, TODAY(), "y")</f>
        <v>39</v>
      </c>
      <c r="K35" t="str">
        <f t="shared" ca="1" si="0"/>
        <v>30-60</v>
      </c>
      <c r="M35" t="str">
        <v>Hridaan</v>
      </c>
      <c r="N35" t="str">
        <v>Vala</v>
      </c>
      <c r="P35" t="str">
        <v>Hridaan</v>
      </c>
      <c r="Q35" t="str">
        <v>Vala</v>
      </c>
      <c r="S35" t="str" cm="1">
        <f t="array" ref="S35">_xlfn.IFS(OR(D34="M", D34="Male"), "Male", OR(D34="F", D34="Female"), "Female", TRUE, "Other")</f>
        <v>Female</v>
      </c>
      <c r="U35" t="str">
        <f t="shared" si="1"/>
        <v>hridaan Vala</v>
      </c>
      <c r="W35" t="str">
        <f t="shared" si="2"/>
        <v>hridaan Vala</v>
      </c>
      <c r="Y35">
        <f t="shared" ca="1" si="3"/>
        <v>36</v>
      </c>
      <c r="AA35" s="5" t="str">
        <f t="shared" ca="1" si="4"/>
        <v>No</v>
      </c>
      <c r="AC35" s="5" t="str">
        <f>RIGHT(TRIM(G34), 6)</f>
        <v>868144</v>
      </c>
      <c r="AE35" t="s">
        <v>28</v>
      </c>
      <c r="AG35">
        <v>36</v>
      </c>
      <c r="AI35" t="str">
        <f>REPLACE(F34, 1, SEARCH("@", F34), "")</f>
        <v>singh-barad.org</v>
      </c>
      <c r="AK35">
        <v>68</v>
      </c>
      <c r="AM35" t="s">
        <v>28</v>
      </c>
    </row>
    <row r="36" spans="1:39" ht="28.8" hidden="1">
      <c r="A36" t="s">
        <v>3446</v>
      </c>
      <c r="B36" t="s">
        <v>156</v>
      </c>
      <c r="C36" s="1">
        <v>24887</v>
      </c>
      <c r="D36" t="s">
        <v>15</v>
      </c>
      <c r="E36">
        <v>914384249818</v>
      </c>
      <c r="F36" t="s">
        <v>157</v>
      </c>
      <c r="G36" s="2" t="s">
        <v>158</v>
      </c>
      <c r="H36">
        <v>6471027677</v>
      </c>
      <c r="I36" t="s">
        <v>159</v>
      </c>
      <c r="J36">
        <v>57</v>
      </c>
      <c r="K36" t="str">
        <f t="shared" ca="1" si="0"/>
        <v>30-60</v>
      </c>
      <c r="M36" t="str">
        <v>Hrishita</v>
      </c>
      <c r="N36" t="str">
        <v>Dhillon</v>
      </c>
      <c r="P36" t="str">
        <v>Hrishita</v>
      </c>
      <c r="Q36" t="str">
        <v>Dhillon</v>
      </c>
      <c r="S36" t="str" cm="1">
        <f t="array" ref="S36">_xlfn.IFS(OR(D35="M", D35="Male"), "Male", OR(D35="F", D35="Female"), "Female", TRUE, "Other")</f>
        <v>Male</v>
      </c>
      <c r="U36" t="str">
        <f t="shared" si="1"/>
        <v>hrishita Dhillon</v>
      </c>
      <c r="W36" t="str">
        <f t="shared" si="2"/>
        <v>hrishita Dhillon</v>
      </c>
      <c r="Y36">
        <f t="shared" ca="1" si="3"/>
        <v>57</v>
      </c>
      <c r="AA36" s="5" t="str">
        <f t="shared" ca="1" si="4"/>
        <v>No</v>
      </c>
      <c r="AC36" s="5" t="str">
        <f>RIGHT(TRIM(G35), 6)</f>
        <v>251778</v>
      </c>
      <c r="AE36" t="s">
        <v>15</v>
      </c>
      <c r="AG36">
        <v>57</v>
      </c>
      <c r="AI36" t="str">
        <f>REPLACE(F35, 1, SEARCH("@", F35), "")</f>
        <v>hotmail.com</v>
      </c>
      <c r="AK36">
        <v>68</v>
      </c>
      <c r="AM36" t="s">
        <v>15</v>
      </c>
    </row>
    <row r="37" spans="1:39" ht="28.8" hidden="1">
      <c r="A37" t="s">
        <v>3447</v>
      </c>
      <c r="B37" t="s">
        <v>160</v>
      </c>
      <c r="C37" s="1">
        <v>36733</v>
      </c>
      <c r="D37" t="s">
        <v>10</v>
      </c>
      <c r="E37">
        <v>8815371473</v>
      </c>
      <c r="F37" t="s">
        <v>161</v>
      </c>
      <c r="G37" s="2" t="s">
        <v>162</v>
      </c>
      <c r="H37">
        <v>8733950047</v>
      </c>
      <c r="I37" t="s">
        <v>163</v>
      </c>
      <c r="J37">
        <v>58</v>
      </c>
      <c r="K37" t="str">
        <f t="shared" ca="1" si="0"/>
        <v>30-60</v>
      </c>
      <c r="M37" t="str">
        <v>Ela</v>
      </c>
      <c r="N37" t="str">
        <v>Wason</v>
      </c>
      <c r="P37" t="str">
        <v>Ela</v>
      </c>
      <c r="Q37" t="str">
        <v>Wason</v>
      </c>
      <c r="S37" t="str" cm="1">
        <f t="array" ref="S37">_xlfn.IFS(OR(D36="M", D36="Male"), "Male", OR(D36="F", D36="Female"), "Female", TRUE, "Other")</f>
        <v>Male</v>
      </c>
      <c r="U37" t="str">
        <f t="shared" si="1"/>
        <v>ela Wason</v>
      </c>
      <c r="W37" t="str">
        <f t="shared" si="2"/>
        <v>ela Wason</v>
      </c>
      <c r="Y37">
        <f t="shared" ca="1" si="3"/>
        <v>58</v>
      </c>
      <c r="AA37" s="5" t="str">
        <f t="shared" ca="1" si="4"/>
        <v>No</v>
      </c>
      <c r="AC37" s="5" t="str">
        <f>RIGHT(TRIM(G36), 6)</f>
        <v>784473</v>
      </c>
      <c r="AE37" t="s">
        <v>15</v>
      </c>
      <c r="AG37">
        <v>58</v>
      </c>
      <c r="AI37" t="str">
        <f>REPLACE(F36, 1, SEARCH("@", F36), "")</f>
        <v>sem.com</v>
      </c>
      <c r="AK37">
        <v>68</v>
      </c>
      <c r="AM37" t="s">
        <v>15</v>
      </c>
    </row>
    <row r="38" spans="1:39" ht="28.8" hidden="1">
      <c r="A38" t="s">
        <v>3448</v>
      </c>
      <c r="B38" t="s">
        <v>164</v>
      </c>
      <c r="C38" s="1">
        <v>36812</v>
      </c>
      <c r="D38" t="s">
        <v>28</v>
      </c>
      <c r="E38">
        <v>5060983584</v>
      </c>
      <c r="F38" t="s">
        <v>165</v>
      </c>
      <c r="G38" s="2" t="s">
        <v>166</v>
      </c>
      <c r="H38">
        <v>7872982595</v>
      </c>
      <c r="I38" t="s">
        <v>167</v>
      </c>
      <c r="J38">
        <v>25</v>
      </c>
      <c r="K38" t="str">
        <f t="shared" ca="1" si="0"/>
        <v>&lt;30</v>
      </c>
      <c r="M38" t="str">
        <v>Yakshit</v>
      </c>
      <c r="N38" t="str">
        <v>Bhattacharyya</v>
      </c>
      <c r="P38" t="str">
        <v>Yakshit</v>
      </c>
      <c r="Q38" t="str">
        <v>Bhattacharyya</v>
      </c>
      <c r="S38" t="str" cm="1">
        <f t="array" ref="S38">_xlfn.IFS(OR(D37="M", D37="Male"), "Male", OR(D37="F", D37="Female"), "Female", TRUE, "Other")</f>
        <v>Other</v>
      </c>
      <c r="U38" t="str">
        <f t="shared" si="1"/>
        <v>yakshit Bhattacharyya</v>
      </c>
      <c r="W38" t="str">
        <f t="shared" si="2"/>
        <v>yakshit Bhattacharyya</v>
      </c>
      <c r="Y38">
        <f t="shared" ca="1" si="3"/>
        <v>25</v>
      </c>
      <c r="AA38" s="5" t="str">
        <f t="shared" ca="1" si="4"/>
        <v>No</v>
      </c>
      <c r="AC38" s="5" t="str">
        <f>RIGHT(TRIM(G37), 6)</f>
        <v>747016</v>
      </c>
      <c r="AE38" t="s">
        <v>10</v>
      </c>
      <c r="AG38">
        <v>25</v>
      </c>
      <c r="AI38" t="str">
        <f>REPLACE(F37, 1, SEARCH("@", F37), "")</f>
        <v>venkatesh-randhawa.biz</v>
      </c>
      <c r="AK38">
        <v>68</v>
      </c>
      <c r="AM38" t="s">
        <v>10</v>
      </c>
    </row>
    <row r="39" spans="1:39" ht="43.2">
      <c r="A39" t="s">
        <v>3449</v>
      </c>
      <c r="B39" t="s">
        <v>168</v>
      </c>
      <c r="C39" s="1">
        <v>31818</v>
      </c>
      <c r="D39" t="s">
        <v>28</v>
      </c>
      <c r="E39">
        <v>7055169409</v>
      </c>
      <c r="F39" t="s">
        <v>169</v>
      </c>
      <c r="G39" s="2" t="s">
        <v>170</v>
      </c>
      <c r="H39">
        <v>6368970283</v>
      </c>
      <c r="I39" t="s">
        <v>171</v>
      </c>
      <c r="J39">
        <f t="shared" ref="J39:J41" ca="1" si="5">DATEDIF(C43, TODAY(), "y")</f>
        <v>73</v>
      </c>
      <c r="K39" t="str">
        <f t="shared" ca="1" si="0"/>
        <v>&lt;30</v>
      </c>
      <c r="M39" t="str">
        <v>Samiha</v>
      </c>
      <c r="N39" t="str">
        <v>Goswami</v>
      </c>
      <c r="P39" t="str">
        <v>Samiha</v>
      </c>
      <c r="Q39" t="str">
        <v>Goswami</v>
      </c>
      <c r="S39" t="str" cm="1">
        <f t="array" ref="S39">_xlfn.IFS(OR(D38="M", D38="Male"), "Male", OR(D38="F", D38="Female"), "Female", TRUE, "Other")</f>
        <v>Female</v>
      </c>
      <c r="U39" t="str">
        <f t="shared" si="1"/>
        <v>samiha Goswami</v>
      </c>
      <c r="W39" t="str">
        <f t="shared" si="2"/>
        <v>samiha Goswami</v>
      </c>
      <c r="Y39">
        <f t="shared" ca="1" si="3"/>
        <v>25</v>
      </c>
      <c r="AA39" s="5" t="str">
        <f t="shared" ca="1" si="4"/>
        <v>No</v>
      </c>
      <c r="AC39" s="5" t="str">
        <f>RIGHT(TRIM(G38), 6)</f>
        <v>800025</v>
      </c>
      <c r="AE39" t="s">
        <v>28</v>
      </c>
      <c r="AG39">
        <v>25</v>
      </c>
      <c r="AI39" t="str">
        <f>REPLACE(F38, 1, SEARCH("@", F38), "")</f>
        <v>dey.org</v>
      </c>
      <c r="AK39">
        <v>67</v>
      </c>
      <c r="AM39" t="s">
        <v>28</v>
      </c>
    </row>
    <row r="40" spans="1:39" ht="28.8">
      <c r="A40" t="s">
        <v>3450</v>
      </c>
      <c r="B40" t="s">
        <v>172</v>
      </c>
      <c r="C40" s="1">
        <v>26632</v>
      </c>
      <c r="D40" t="s">
        <v>28</v>
      </c>
      <c r="E40">
        <v>4973348434</v>
      </c>
      <c r="F40" t="s">
        <v>173</v>
      </c>
      <c r="G40" s="2" t="s">
        <v>174</v>
      </c>
      <c r="H40">
        <v>7473384842</v>
      </c>
      <c r="I40" t="s">
        <v>175</v>
      </c>
      <c r="J40">
        <f t="shared" ca="1" si="5"/>
        <v>39</v>
      </c>
      <c r="K40" t="str">
        <f t="shared" ca="1" si="0"/>
        <v>30-60</v>
      </c>
      <c r="M40" t="str">
        <v>Ayesha</v>
      </c>
      <c r="N40" t="str">
        <v>Sathe</v>
      </c>
      <c r="P40" t="str">
        <v>Ayesha</v>
      </c>
      <c r="Q40" t="str">
        <v>Sathe</v>
      </c>
      <c r="S40" t="str" cm="1">
        <f t="array" ref="S40">_xlfn.IFS(OR(D39="M", D39="Male"), "Male", OR(D39="F", D39="Female"), "Female", TRUE, "Other")</f>
        <v>Female</v>
      </c>
      <c r="U40" t="str">
        <f t="shared" si="1"/>
        <v>ayesha Sathe</v>
      </c>
      <c r="W40" t="str">
        <f t="shared" si="2"/>
        <v>ayesha Sathe</v>
      </c>
      <c r="Y40">
        <f t="shared" ca="1" si="3"/>
        <v>39</v>
      </c>
      <c r="AA40" s="5" t="str">
        <f t="shared" ca="1" si="4"/>
        <v>No</v>
      </c>
      <c r="AC40" s="5" t="str">
        <f>RIGHT(TRIM(G39), 6)</f>
        <v>307562</v>
      </c>
      <c r="AE40" t="s">
        <v>28</v>
      </c>
      <c r="AG40">
        <v>39</v>
      </c>
      <c r="AI40" t="str">
        <f>REPLACE(F39, 1, SEARCH("@", F39), "")</f>
        <v>gmail.com</v>
      </c>
      <c r="AK40">
        <v>67</v>
      </c>
      <c r="AM40" t="s">
        <v>28</v>
      </c>
    </row>
    <row r="41" spans="1:39">
      <c r="A41" t="s">
        <v>3412</v>
      </c>
      <c r="B41" t="s">
        <v>176</v>
      </c>
      <c r="C41" s="1">
        <v>19131</v>
      </c>
      <c r="D41" t="s">
        <v>15</v>
      </c>
      <c r="E41">
        <v>916571208267</v>
      </c>
      <c r="F41" t="s">
        <v>177</v>
      </c>
      <c r="G41" t="s">
        <v>178</v>
      </c>
      <c r="H41">
        <v>4991547887</v>
      </c>
      <c r="I41" t="s">
        <v>179</v>
      </c>
      <c r="J41">
        <f t="shared" ca="1" si="5"/>
        <v>28</v>
      </c>
      <c r="K41" t="str">
        <f t="shared" ca="1" si="0"/>
        <v>30-60</v>
      </c>
      <c r="M41" t="str">
        <v>Shlok</v>
      </c>
      <c r="N41" t="str">
        <v>Mahajan</v>
      </c>
      <c r="P41" t="str">
        <v>Shlok</v>
      </c>
      <c r="Q41" t="str">
        <v>Mahajan</v>
      </c>
      <c r="S41" t="str" cm="1">
        <f t="array" ref="S41">_xlfn.IFS(OR(D40="M", D40="Male"), "Male", OR(D40="F", D40="Female"), "Female", TRUE, "Other")</f>
        <v>Female</v>
      </c>
      <c r="U41" t="str">
        <f t="shared" si="1"/>
        <v>shlok Mahajan</v>
      </c>
      <c r="W41" t="str">
        <f t="shared" si="2"/>
        <v>shlok Mahajan</v>
      </c>
      <c r="Y41">
        <f t="shared" ca="1" si="3"/>
        <v>53</v>
      </c>
      <c r="AA41" s="5" t="str">
        <f t="shared" ca="1" si="4"/>
        <v>No</v>
      </c>
      <c r="AC41" s="5" t="str">
        <f>RIGHT(TRIM(G40), 6)</f>
        <v>240415</v>
      </c>
      <c r="AE41" t="s">
        <v>28</v>
      </c>
      <c r="AG41">
        <v>53</v>
      </c>
      <c r="AI41" t="str">
        <f>REPLACE(F40, 1, SEARCH("@", F40), "")</f>
        <v>yahoo.com</v>
      </c>
      <c r="AK41">
        <v>67</v>
      </c>
      <c r="AM41" t="s">
        <v>28</v>
      </c>
    </row>
    <row r="42" spans="1:39" ht="28.8" hidden="1">
      <c r="A42" t="s">
        <v>3451</v>
      </c>
      <c r="B42" t="s">
        <v>80</v>
      </c>
      <c r="C42" s="1">
        <v>36412</v>
      </c>
      <c r="D42" t="s">
        <v>28</v>
      </c>
      <c r="E42">
        <v>5687833918</v>
      </c>
      <c r="F42" t="s">
        <v>184</v>
      </c>
      <c r="G42" s="2" t="s">
        <v>185</v>
      </c>
      <c r="H42">
        <v>8679087406</v>
      </c>
      <c r="I42" t="s">
        <v>186</v>
      </c>
      <c r="J42">
        <v>73</v>
      </c>
      <c r="K42" t="str">
        <f t="shared" ca="1" si="0"/>
        <v>&gt;60</v>
      </c>
      <c r="M42" t="str">
        <v>Navya</v>
      </c>
      <c r="N42" t="str">
        <v>Dada</v>
      </c>
      <c r="P42" t="str">
        <v>Navya</v>
      </c>
      <c r="Q42" t="str">
        <v>Dada</v>
      </c>
      <c r="S42" t="str" cm="1">
        <f t="array" ref="S42">_xlfn.IFS(OR(D41="M", D41="Male"), "Male", OR(D41="F", D41="Female"), "Female", TRUE, "Other")</f>
        <v>Male</v>
      </c>
      <c r="U42" t="str">
        <f t="shared" si="1"/>
        <v>navya Dada</v>
      </c>
      <c r="W42" t="str">
        <f t="shared" si="2"/>
        <v>navya Dada</v>
      </c>
      <c r="Y42">
        <f t="shared" ca="1" si="3"/>
        <v>73</v>
      </c>
      <c r="AA42" s="5" t="str">
        <f t="shared" ca="1" si="4"/>
        <v>Yes</v>
      </c>
      <c r="AC42" s="5" t="str">
        <f>RIGHT(TRIM(G41), 6)</f>
        <v>672400</v>
      </c>
      <c r="AE42" t="s">
        <v>15</v>
      </c>
      <c r="AG42">
        <v>73</v>
      </c>
      <c r="AI42" t="str">
        <f>REPLACE(F41, 1, SEARCH("@", F41), "")</f>
        <v>yahoo.com</v>
      </c>
      <c r="AK42">
        <v>66</v>
      </c>
      <c r="AM42" t="s">
        <v>15</v>
      </c>
    </row>
    <row r="43" spans="1:39" ht="43.2">
      <c r="A43" t="s">
        <v>3452</v>
      </c>
      <c r="B43" t="s">
        <v>187</v>
      </c>
      <c r="C43" s="1">
        <v>19324</v>
      </c>
      <c r="D43" t="s">
        <v>15</v>
      </c>
      <c r="E43">
        <v>917046226567</v>
      </c>
      <c r="F43" t="s">
        <v>188</v>
      </c>
      <c r="G43" s="2" t="s">
        <v>189</v>
      </c>
      <c r="H43">
        <v>3375243106</v>
      </c>
      <c r="I43" t="s">
        <v>190</v>
      </c>
      <c r="J43">
        <f ca="1">DATEDIF(C47, TODAY(), "y")</f>
        <v>70</v>
      </c>
      <c r="K43" t="str">
        <f t="shared" ca="1" si="0"/>
        <v>&lt;30</v>
      </c>
      <c r="M43" t="str">
        <v>Indrans</v>
      </c>
      <c r="N43" t="str">
        <v>Karan</v>
      </c>
      <c r="P43" t="str">
        <v>Indrans</v>
      </c>
      <c r="Q43" t="str">
        <v>Karan</v>
      </c>
      <c r="S43" t="str" cm="1">
        <f t="array" ref="S43">_xlfn.IFS(OR(D42="M", D42="Male"), "Male", OR(D42="F", D42="Female"), "Female", TRUE, "Other")</f>
        <v>Female</v>
      </c>
      <c r="U43" t="str">
        <f t="shared" si="1"/>
        <v>indrans Karan</v>
      </c>
      <c r="W43" t="str">
        <f t="shared" si="2"/>
        <v>indrans Karan</v>
      </c>
      <c r="Y43">
        <f t="shared" ca="1" si="3"/>
        <v>26</v>
      </c>
      <c r="AA43" s="5" t="str">
        <f t="shared" ca="1" si="4"/>
        <v>No</v>
      </c>
      <c r="AC43" s="5" t="str">
        <f>RIGHT(TRIM(G42), 6)</f>
        <v>187072</v>
      </c>
      <c r="AE43" t="s">
        <v>28</v>
      </c>
      <c r="AG43">
        <v>26</v>
      </c>
      <c r="AI43" t="str">
        <f>REPLACE(F42, 1, SEARCH("@", F42), "")</f>
        <v>gmail.com</v>
      </c>
      <c r="AK43">
        <v>66</v>
      </c>
      <c r="AM43" t="s">
        <v>28</v>
      </c>
    </row>
    <row r="44" spans="1:39" ht="28.8" hidden="1">
      <c r="A44" t="s">
        <v>3453</v>
      </c>
      <c r="B44" t="s">
        <v>32</v>
      </c>
      <c r="C44" s="1">
        <v>31805</v>
      </c>
      <c r="D44" t="s">
        <v>28</v>
      </c>
      <c r="E44">
        <v>6882634351</v>
      </c>
      <c r="F44" t="s">
        <v>195</v>
      </c>
      <c r="G44" s="2" t="s">
        <v>196</v>
      </c>
      <c r="H44">
        <v>7393638546</v>
      </c>
      <c r="I44" t="s">
        <v>197</v>
      </c>
      <c r="J44">
        <v>73</v>
      </c>
      <c r="K44" t="str">
        <f t="shared" ca="1" si="0"/>
        <v>&gt;60</v>
      </c>
      <c r="M44" t="str">
        <v>Chirag</v>
      </c>
      <c r="N44" t="str">
        <v>Madan</v>
      </c>
      <c r="P44" t="str">
        <v>Chirag</v>
      </c>
      <c r="Q44" t="str">
        <v>Madan</v>
      </c>
      <c r="S44" t="str" cm="1">
        <f t="array" ref="S44">_xlfn.IFS(OR(D43="M", D43="Male"), "Male", OR(D43="F", D43="Female"), "Female", TRUE, "Other")</f>
        <v>Male</v>
      </c>
      <c r="U44" t="str">
        <f t="shared" si="1"/>
        <v>chirag Madan</v>
      </c>
      <c r="W44" t="str">
        <f t="shared" si="2"/>
        <v>chirag Madan</v>
      </c>
      <c r="Y44">
        <f t="shared" ca="1" si="3"/>
        <v>73</v>
      </c>
      <c r="AA44" s="5" t="str">
        <f t="shared" ca="1" si="4"/>
        <v>Yes</v>
      </c>
      <c r="AC44" s="5" t="str">
        <f>RIGHT(TRIM(G43), 6)</f>
        <v>478686</v>
      </c>
      <c r="AE44" t="s">
        <v>15</v>
      </c>
      <c r="AG44">
        <v>73</v>
      </c>
      <c r="AI44" t="str">
        <f>REPLACE(F43, 1, SEARCH("@", F43), "")</f>
        <v>hotmail.com</v>
      </c>
      <c r="AK44">
        <v>66</v>
      </c>
      <c r="AM44" t="s">
        <v>15</v>
      </c>
    </row>
    <row r="45" spans="1:39">
      <c r="A45" t="s">
        <v>3454</v>
      </c>
      <c r="B45" t="s">
        <v>198</v>
      </c>
      <c r="C45" s="1">
        <v>35782</v>
      </c>
      <c r="D45" t="s">
        <v>15</v>
      </c>
      <c r="E45">
        <v>5355609320</v>
      </c>
      <c r="F45" t="s">
        <v>199</v>
      </c>
      <c r="G45" t="s">
        <v>200</v>
      </c>
      <c r="H45">
        <v>8728080100</v>
      </c>
      <c r="I45" t="s">
        <v>201</v>
      </c>
      <c r="J45">
        <f ca="1">DATEDIF(C49, TODAY(), "y")</f>
        <v>43</v>
      </c>
      <c r="K45" t="str">
        <f t="shared" ca="1" si="0"/>
        <v>30-60</v>
      </c>
      <c r="M45" t="str">
        <v>Anahi</v>
      </c>
      <c r="N45" t="str">
        <v>Balakrishnan</v>
      </c>
      <c r="P45" t="str">
        <v>Anahi</v>
      </c>
      <c r="Q45" t="str">
        <v>Balakrishnan</v>
      </c>
      <c r="S45" t="str" cm="1">
        <f t="array" ref="S45">_xlfn.IFS(OR(D44="M", D44="Male"), "Male", OR(D44="F", D44="Female"), "Female", TRUE, "Other")</f>
        <v>Female</v>
      </c>
      <c r="U45" t="str">
        <f t="shared" si="1"/>
        <v>anahi Balakrishnan</v>
      </c>
      <c r="W45" t="str">
        <f t="shared" si="2"/>
        <v>anahi Balakrishnan</v>
      </c>
      <c r="Y45">
        <f t="shared" ca="1" si="3"/>
        <v>39</v>
      </c>
      <c r="AA45" s="5" t="str">
        <f t="shared" ca="1" si="4"/>
        <v>No</v>
      </c>
      <c r="AC45" s="5" t="str">
        <f>RIGHT(TRIM(G44), 6)</f>
        <v>540331</v>
      </c>
      <c r="AE45" t="s">
        <v>28</v>
      </c>
      <c r="AG45">
        <v>39</v>
      </c>
      <c r="AI45" t="str">
        <f>REPLACE(F44, 1, SEARCH("@", F44), "")</f>
        <v>gmail.com</v>
      </c>
      <c r="AK45">
        <v>65</v>
      </c>
      <c r="AM45" t="s">
        <v>28</v>
      </c>
    </row>
    <row r="46" spans="1:39" ht="28.8" hidden="1">
      <c r="A46" t="s">
        <v>3455</v>
      </c>
      <c r="B46" t="s">
        <v>202</v>
      </c>
      <c r="C46" s="1">
        <v>19329</v>
      </c>
      <c r="D46" t="s">
        <v>28</v>
      </c>
      <c r="E46">
        <v>9770088600</v>
      </c>
      <c r="F46" t="s">
        <v>203</v>
      </c>
      <c r="G46" s="2" t="s">
        <v>204</v>
      </c>
      <c r="H46">
        <v>3410166687</v>
      </c>
      <c r="I46" t="s">
        <v>205</v>
      </c>
      <c r="J46">
        <v>28</v>
      </c>
      <c r="K46" t="str">
        <f t="shared" ca="1" si="0"/>
        <v>&lt;30</v>
      </c>
      <c r="M46" t="str">
        <v>Divyansh</v>
      </c>
      <c r="N46" t="str">
        <v>Suri</v>
      </c>
      <c r="P46" t="str">
        <v>Divyansh</v>
      </c>
      <c r="Q46" t="str">
        <v>Suri</v>
      </c>
      <c r="S46" t="str" cm="1">
        <f t="array" ref="S46">_xlfn.IFS(OR(D45="M", D45="Male"), "Male", OR(D45="F", D45="Female"), "Female", TRUE, "Other")</f>
        <v>Male</v>
      </c>
      <c r="U46" t="str">
        <f t="shared" si="1"/>
        <v>divyansh Suri</v>
      </c>
      <c r="W46" t="str">
        <f t="shared" si="2"/>
        <v>divyansh Suri</v>
      </c>
      <c r="Y46">
        <f t="shared" ca="1" si="3"/>
        <v>28</v>
      </c>
      <c r="AA46" s="5" t="str">
        <f t="shared" ca="1" si="4"/>
        <v>No</v>
      </c>
      <c r="AC46" s="5" t="str">
        <f>RIGHT(TRIM(G45), 6)</f>
        <v>772522</v>
      </c>
      <c r="AE46" t="s">
        <v>15</v>
      </c>
      <c r="AG46">
        <v>28</v>
      </c>
      <c r="AI46" t="str">
        <f>REPLACE(F45, 1, SEARCH("@", F45), "")</f>
        <v>gmail.com</v>
      </c>
      <c r="AK46">
        <v>65</v>
      </c>
      <c r="AM46" t="s">
        <v>15</v>
      </c>
    </row>
    <row r="47" spans="1:39" ht="43.2">
      <c r="A47" t="s">
        <v>3456</v>
      </c>
      <c r="B47" t="s">
        <v>206</v>
      </c>
      <c r="C47" s="1">
        <v>20197</v>
      </c>
      <c r="D47" t="s">
        <v>28</v>
      </c>
      <c r="E47">
        <v>339740148</v>
      </c>
      <c r="F47" t="s">
        <v>207</v>
      </c>
      <c r="G47" s="2" t="s">
        <v>208</v>
      </c>
      <c r="H47">
        <v>3159996504</v>
      </c>
      <c r="I47" t="s">
        <v>209</v>
      </c>
      <c r="J47">
        <f t="shared" ref="J47:J48" ca="1" si="6">DATEDIF(C51, TODAY(), "y")</f>
        <v>43</v>
      </c>
      <c r="K47" t="str">
        <f t="shared" ca="1" si="0"/>
        <v>&gt;60</v>
      </c>
      <c r="M47" t="str">
        <v>Amani</v>
      </c>
      <c r="N47" t="str">
        <v>Grover</v>
      </c>
      <c r="P47" t="str">
        <v>Amani</v>
      </c>
      <c r="Q47" t="str">
        <v>Grover</v>
      </c>
      <c r="S47" t="str" cm="1">
        <f t="array" ref="S47">_xlfn.IFS(OR(D46="M", D46="Male"), "Male", OR(D46="F", D46="Female"), "Female", TRUE, "Other")</f>
        <v>Female</v>
      </c>
      <c r="U47" t="str">
        <f t="shared" si="1"/>
        <v>amani Grover</v>
      </c>
      <c r="W47" t="str">
        <f t="shared" si="2"/>
        <v>amani Grover</v>
      </c>
      <c r="Y47">
        <f t="shared" ca="1" si="3"/>
        <v>73</v>
      </c>
      <c r="AA47" s="5" t="str">
        <f t="shared" ca="1" si="4"/>
        <v>Yes</v>
      </c>
      <c r="AC47" s="5" t="str">
        <f>RIGHT(TRIM(G46), 6)</f>
        <v>156793</v>
      </c>
      <c r="AE47" t="s">
        <v>28</v>
      </c>
      <c r="AG47">
        <v>73</v>
      </c>
      <c r="AI47" t="str">
        <f>REPLACE(F46, 1, SEARCH("@", F46), "")</f>
        <v>gmail.com</v>
      </c>
      <c r="AK47">
        <v>65</v>
      </c>
      <c r="AM47" t="s">
        <v>28</v>
      </c>
    </row>
    <row r="48" spans="1:39" ht="28.8">
      <c r="A48" t="s">
        <v>3457</v>
      </c>
      <c r="B48" t="s">
        <v>210</v>
      </c>
      <c r="C48" s="1">
        <v>27273</v>
      </c>
      <c r="D48" t="s">
        <v>10</v>
      </c>
      <c r="E48">
        <v>919431142626</v>
      </c>
      <c r="F48" t="s">
        <v>211</v>
      </c>
      <c r="G48" s="2" t="s">
        <v>212</v>
      </c>
      <c r="H48">
        <v>9956046618</v>
      </c>
      <c r="I48" t="s">
        <v>213</v>
      </c>
      <c r="J48">
        <f t="shared" ca="1" si="6"/>
        <v>62</v>
      </c>
      <c r="K48" t="str">
        <f t="shared" ca="1" si="0"/>
        <v>&gt;60</v>
      </c>
      <c r="M48" t="str">
        <v>Jivika</v>
      </c>
      <c r="N48" t="str">
        <v>Varughese</v>
      </c>
      <c r="P48" t="str">
        <v>Jivika</v>
      </c>
      <c r="Q48" t="str">
        <v>Varughese</v>
      </c>
      <c r="S48" t="str" cm="1">
        <f t="array" ref="S48">_xlfn.IFS(OR(D47="M", D47="Male"), "Male", OR(D47="F", D47="Female"), "Female", TRUE, "Other")</f>
        <v>Female</v>
      </c>
      <c r="U48" t="str">
        <f t="shared" si="1"/>
        <v>jivika Varughese</v>
      </c>
      <c r="W48" t="str">
        <f t="shared" si="2"/>
        <v>jivika Varughese</v>
      </c>
      <c r="Y48">
        <f t="shared" ca="1" si="3"/>
        <v>70</v>
      </c>
      <c r="AA48" s="5" t="str">
        <f t="shared" ca="1" si="4"/>
        <v>Yes</v>
      </c>
      <c r="AC48" s="5" t="str">
        <f>RIGHT(TRIM(G47), 6)</f>
        <v>185016</v>
      </c>
      <c r="AE48" t="s">
        <v>28</v>
      </c>
      <c r="AG48">
        <v>70</v>
      </c>
      <c r="AI48" t="str">
        <f>REPLACE(F47, 1, SEARCH("@", F47), "")</f>
        <v>raj.biz</v>
      </c>
      <c r="AK48">
        <v>65</v>
      </c>
      <c r="AM48" t="s">
        <v>28</v>
      </c>
    </row>
    <row r="49" spans="1:39" hidden="1">
      <c r="A49" t="s">
        <v>3458</v>
      </c>
      <c r="B49" t="s">
        <v>214</v>
      </c>
      <c r="C49" s="1">
        <v>30083</v>
      </c>
      <c r="D49" t="s">
        <v>28</v>
      </c>
      <c r="E49">
        <v>911264647154</v>
      </c>
      <c r="F49" t="s">
        <v>215</v>
      </c>
      <c r="G49" t="s">
        <v>216</v>
      </c>
      <c r="H49">
        <v>3752654793</v>
      </c>
      <c r="I49" t="s">
        <v>217</v>
      </c>
      <c r="J49">
        <v>51</v>
      </c>
      <c r="K49" t="str">
        <f t="shared" ca="1" si="0"/>
        <v>30-60</v>
      </c>
      <c r="M49" t="str">
        <v>Keya</v>
      </c>
      <c r="N49" t="str">
        <v>Sahota</v>
      </c>
      <c r="P49" t="str">
        <v>Keya</v>
      </c>
      <c r="Q49" t="str">
        <v>Sahota</v>
      </c>
      <c r="S49" t="str" cm="1">
        <f t="array" ref="S49">_xlfn.IFS(OR(D48="M", D48="Male"), "Male", OR(D48="F", D48="Female"), "Female", TRUE, "Other")</f>
        <v>Other</v>
      </c>
      <c r="U49" t="str">
        <f t="shared" si="1"/>
        <v>keya Sahota</v>
      </c>
      <c r="W49" t="str">
        <f t="shared" si="2"/>
        <v>keya Sahota</v>
      </c>
      <c r="Y49">
        <f t="shared" ca="1" si="3"/>
        <v>51</v>
      </c>
      <c r="AA49" s="5" t="str">
        <f t="shared" ca="1" si="4"/>
        <v>No</v>
      </c>
      <c r="AC49" s="5" t="str">
        <f>RIGHT(TRIM(G48), 6)</f>
        <v>101581</v>
      </c>
      <c r="AE49" t="s">
        <v>10</v>
      </c>
      <c r="AG49">
        <v>51</v>
      </c>
      <c r="AI49" t="str">
        <f>REPLACE(F48, 1, SEARCH("@", F48), "")</f>
        <v>yahoo.com</v>
      </c>
      <c r="AK49">
        <v>64</v>
      </c>
      <c r="AM49" t="s">
        <v>10</v>
      </c>
    </row>
    <row r="50" spans="1:39" ht="28.8">
      <c r="A50" t="s">
        <v>3459</v>
      </c>
      <c r="B50" t="s">
        <v>218</v>
      </c>
      <c r="C50" s="1">
        <v>34771</v>
      </c>
      <c r="D50" t="s">
        <v>15</v>
      </c>
      <c r="E50">
        <v>737416724</v>
      </c>
      <c r="F50" t="s">
        <v>219</v>
      </c>
      <c r="G50" s="2" t="s">
        <v>220</v>
      </c>
      <c r="H50">
        <v>5610143888</v>
      </c>
      <c r="I50" t="s">
        <v>221</v>
      </c>
      <c r="J50">
        <f ca="1">DATEDIF(C54, TODAY(), "y")</f>
        <v>50</v>
      </c>
      <c r="K50" t="str">
        <f t="shared" ca="1" si="0"/>
        <v>30-60</v>
      </c>
      <c r="M50" t="str">
        <v>Romil</v>
      </c>
      <c r="N50" t="str">
        <v>Desai</v>
      </c>
      <c r="P50" t="str">
        <v>Romil</v>
      </c>
      <c r="Q50" t="str">
        <v>Desai</v>
      </c>
      <c r="S50" t="str" cm="1">
        <f t="array" ref="S50">_xlfn.IFS(OR(D49="M", D49="Male"), "Male", OR(D49="F", D49="Female"), "Female", TRUE, "Other")</f>
        <v>Female</v>
      </c>
      <c r="U50" t="str">
        <f t="shared" si="1"/>
        <v>romil Desai</v>
      </c>
      <c r="W50" t="str">
        <f t="shared" si="2"/>
        <v>romil Desai</v>
      </c>
      <c r="Y50">
        <f t="shared" ca="1" si="3"/>
        <v>43</v>
      </c>
      <c r="AA50" s="5" t="str">
        <f t="shared" ca="1" si="4"/>
        <v>No</v>
      </c>
      <c r="AC50" s="5" t="str">
        <f>RIGHT(TRIM(G49), 6)</f>
        <v>692459</v>
      </c>
      <c r="AE50" t="s">
        <v>28</v>
      </c>
      <c r="AG50">
        <v>43</v>
      </c>
      <c r="AI50" t="str">
        <f>REPLACE(F49, 1, SEARCH("@", F49), "")</f>
        <v>karnik.com</v>
      </c>
      <c r="AK50">
        <v>63</v>
      </c>
      <c r="AM50" t="s">
        <v>28</v>
      </c>
    </row>
    <row r="51" spans="1:39" ht="28.8" hidden="1">
      <c r="A51" t="s">
        <v>3460</v>
      </c>
      <c r="B51" t="s">
        <v>222</v>
      </c>
      <c r="C51" s="1">
        <v>30266</v>
      </c>
      <c r="D51" t="s">
        <v>10</v>
      </c>
      <c r="E51">
        <v>915071461125</v>
      </c>
      <c r="F51" t="s">
        <v>223</v>
      </c>
      <c r="G51" s="2" t="s">
        <v>224</v>
      </c>
      <c r="H51">
        <v>8258673622</v>
      </c>
      <c r="I51" t="s">
        <v>225</v>
      </c>
      <c r="J51">
        <v>31</v>
      </c>
      <c r="K51" t="str">
        <f t="shared" ca="1" si="0"/>
        <v>30-60</v>
      </c>
      <c r="M51" t="str">
        <v xml:space="preserve">Inaaya </v>
      </c>
      <c r="N51" t="str">
        <v>Chana</v>
      </c>
      <c r="P51" t="str">
        <v>Inaaya</v>
      </c>
      <c r="Q51" t="str">
        <v>Chana</v>
      </c>
      <c r="S51" t="str" cm="1">
        <f t="array" ref="S51">_xlfn.IFS(OR(D50="M", D50="Male"), "Male", OR(D50="F", D50="Female"), "Female", TRUE, "Other")</f>
        <v>Male</v>
      </c>
      <c r="U51" t="str">
        <f t="shared" si="1"/>
        <v>inaaya  Chana</v>
      </c>
      <c r="W51" t="str">
        <f t="shared" si="2"/>
        <v>inaaya  Chana</v>
      </c>
      <c r="Y51">
        <f t="shared" ca="1" si="3"/>
        <v>31</v>
      </c>
      <c r="AA51" s="5" t="str">
        <f t="shared" ca="1" si="4"/>
        <v>No</v>
      </c>
      <c r="AC51" s="5" t="str">
        <f>RIGHT(TRIM(G50), 6)</f>
        <v>529096</v>
      </c>
      <c r="AE51" t="s">
        <v>15</v>
      </c>
      <c r="AG51">
        <v>31</v>
      </c>
      <c r="AI51" t="str">
        <f>REPLACE(F50, 1, SEARCH("@", F50), "")</f>
        <v>bansal-kapur.org</v>
      </c>
      <c r="AK51">
        <v>62</v>
      </c>
      <c r="AM51" t="s">
        <v>15</v>
      </c>
    </row>
    <row r="52" spans="1:39" hidden="1">
      <c r="A52" t="s">
        <v>3461</v>
      </c>
      <c r="B52" t="s">
        <v>226</v>
      </c>
      <c r="C52" s="1">
        <v>23165</v>
      </c>
      <c r="D52" t="s">
        <v>28</v>
      </c>
      <c r="E52">
        <v>914191825537</v>
      </c>
      <c r="F52" t="s">
        <v>227</v>
      </c>
      <c r="G52" t="s">
        <v>228</v>
      </c>
      <c r="H52">
        <v>2528669296</v>
      </c>
      <c r="I52" t="s">
        <v>229</v>
      </c>
      <c r="J52">
        <v>43</v>
      </c>
      <c r="K52" t="str">
        <f t="shared" ca="1" si="0"/>
        <v>30-60</v>
      </c>
      <c r="M52" t="str">
        <v>Khushi</v>
      </c>
      <c r="N52" t="str">
        <v>Sant</v>
      </c>
      <c r="P52" t="str">
        <v>Khushi</v>
      </c>
      <c r="Q52" t="str">
        <v>Sant</v>
      </c>
      <c r="S52" t="str" cm="1">
        <f t="array" ref="S52">_xlfn.IFS(OR(D51="M", D51="Male"), "Male", OR(D51="F", D51="Female"), "Female", TRUE, "Other")</f>
        <v>Other</v>
      </c>
      <c r="U52" t="str">
        <f t="shared" si="1"/>
        <v>khushi Sant</v>
      </c>
      <c r="W52" t="str">
        <f t="shared" si="2"/>
        <v>khushi Sant</v>
      </c>
      <c r="Y52">
        <f t="shared" ca="1" si="3"/>
        <v>43</v>
      </c>
      <c r="AA52" s="5" t="str">
        <f t="shared" ca="1" si="4"/>
        <v>No</v>
      </c>
      <c r="AC52" s="5" t="str">
        <f>RIGHT(TRIM(G51), 6)</f>
        <v>512382</v>
      </c>
      <c r="AE52" t="s">
        <v>10</v>
      </c>
      <c r="AG52">
        <v>43</v>
      </c>
      <c r="AI52" t="str">
        <f>REPLACE(F51, 1, SEARCH("@", F51), "")</f>
        <v>yahoo.com</v>
      </c>
      <c r="AK52">
        <v>62</v>
      </c>
      <c r="AM52" t="s">
        <v>10</v>
      </c>
    </row>
    <row r="53" spans="1:39" ht="28.8">
      <c r="A53" t="s">
        <v>3462</v>
      </c>
      <c r="B53" t="s">
        <v>234</v>
      </c>
      <c r="C53" s="1">
        <v>18628</v>
      </c>
      <c r="D53" t="s">
        <v>15</v>
      </c>
      <c r="E53">
        <v>4517133959</v>
      </c>
      <c r="F53" t="s">
        <v>235</v>
      </c>
      <c r="G53" s="2" t="s">
        <v>236</v>
      </c>
      <c r="H53">
        <v>422325367</v>
      </c>
      <c r="I53" t="s">
        <v>237</v>
      </c>
      <c r="J53">
        <f ca="1">DATEDIF(C57, TODAY(), "y")</f>
        <v>33</v>
      </c>
      <c r="K53" t="str">
        <f t="shared" ca="1" si="0"/>
        <v>&gt;60</v>
      </c>
      <c r="M53" t="str">
        <v>Aarush</v>
      </c>
      <c r="N53" t="str">
        <v>Sarraf</v>
      </c>
      <c r="P53" t="str">
        <v>Aarush</v>
      </c>
      <c r="Q53" t="str">
        <v>Sarraf</v>
      </c>
      <c r="S53" t="str" cm="1">
        <f t="array" ref="S53">_xlfn.IFS(OR(D52="M", D52="Male"), "Male", OR(D52="F", D52="Female"), "Female", TRUE, "Other")</f>
        <v>Female</v>
      </c>
      <c r="U53" t="str">
        <f t="shared" si="1"/>
        <v>aarush Sarraf</v>
      </c>
      <c r="W53" t="str">
        <f t="shared" si="2"/>
        <v>aarush Sarraf</v>
      </c>
      <c r="Y53">
        <f t="shared" ca="1" si="3"/>
        <v>62</v>
      </c>
      <c r="AA53" s="5" t="str">
        <f t="shared" ca="1" si="4"/>
        <v>Yes</v>
      </c>
      <c r="AC53" s="5" t="str">
        <f>RIGHT(TRIM(G52), 6)</f>
        <v>251341</v>
      </c>
      <c r="AE53" t="s">
        <v>28</v>
      </c>
      <c r="AG53">
        <v>62</v>
      </c>
      <c r="AI53" t="str">
        <f>REPLACE(F52, 1, SEARCH("@", F52), "")</f>
        <v>dugar.org</v>
      </c>
      <c r="AK53">
        <v>62</v>
      </c>
      <c r="AM53" t="s">
        <v>28</v>
      </c>
    </row>
    <row r="54" spans="1:39" ht="28.8" hidden="1">
      <c r="A54" t="s">
        <v>3463</v>
      </c>
      <c r="B54" t="s">
        <v>238</v>
      </c>
      <c r="C54" s="1">
        <v>27839</v>
      </c>
      <c r="D54" t="s">
        <v>28</v>
      </c>
      <c r="E54">
        <v>4577590175</v>
      </c>
      <c r="F54" t="s">
        <v>239</v>
      </c>
      <c r="G54" s="2" t="s">
        <v>240</v>
      </c>
      <c r="H54">
        <v>632424154</v>
      </c>
      <c r="I54" t="s">
        <v>241</v>
      </c>
      <c r="J54">
        <v>75</v>
      </c>
      <c r="K54" t="str">
        <f t="shared" ca="1" si="0"/>
        <v>&gt;60</v>
      </c>
      <c r="M54" t="str">
        <v>Rohan</v>
      </c>
      <c r="N54" t="str">
        <v>Vohra</v>
      </c>
      <c r="P54" t="str">
        <v>Rohan</v>
      </c>
      <c r="Q54" t="str">
        <v>Vohra</v>
      </c>
      <c r="S54" t="str" cm="1">
        <f t="array" ref="S54">_xlfn.IFS(OR(D53="M", D53="Male"), "Male", OR(D53="F", D53="Female"), "Female", TRUE, "Other")</f>
        <v>Male</v>
      </c>
      <c r="U54" t="str">
        <f t="shared" si="1"/>
        <v>rohan Vohra</v>
      </c>
      <c r="W54" t="str">
        <f t="shared" si="2"/>
        <v>rohan Vohra</v>
      </c>
      <c r="Y54">
        <f t="shared" ca="1" si="3"/>
        <v>75</v>
      </c>
      <c r="AA54" s="5" t="str">
        <f t="shared" ca="1" si="4"/>
        <v>Yes</v>
      </c>
      <c r="AC54" s="5" t="str">
        <f>RIGHT(TRIM(G53), 6)</f>
        <v>948126</v>
      </c>
      <c r="AE54" t="s">
        <v>15</v>
      </c>
      <c r="AG54">
        <v>75</v>
      </c>
      <c r="AI54" t="str">
        <f>REPLACE(F53, 1, SEARCH("@", F53), "")</f>
        <v>gmail.com</v>
      </c>
      <c r="AK54">
        <v>61</v>
      </c>
      <c r="AM54" t="s">
        <v>15</v>
      </c>
    </row>
    <row r="55" spans="1:39" ht="43.2">
      <c r="A55" t="s">
        <v>3464</v>
      </c>
      <c r="B55" t="s">
        <v>176</v>
      </c>
      <c r="C55" s="1">
        <v>28495</v>
      </c>
      <c r="D55" t="s">
        <v>15</v>
      </c>
      <c r="E55">
        <v>1103712938</v>
      </c>
      <c r="F55" t="s">
        <v>242</v>
      </c>
      <c r="G55" s="2" t="s">
        <v>243</v>
      </c>
      <c r="H55">
        <v>1890927532</v>
      </c>
      <c r="I55" t="s">
        <v>244</v>
      </c>
      <c r="J55">
        <f ca="1">DATEDIF(C59, TODAY(), "y")</f>
        <v>50</v>
      </c>
      <c r="K55" t="str">
        <f t="shared" ca="1" si="0"/>
        <v>30-60</v>
      </c>
      <c r="M55" t="str">
        <v>Tiya</v>
      </c>
      <c r="N55" t="str">
        <v>Batra</v>
      </c>
      <c r="P55" t="str">
        <v>Tiya</v>
      </c>
      <c r="Q55" t="str">
        <v>Batra</v>
      </c>
      <c r="S55" t="str" cm="1">
        <f t="array" ref="S55">_xlfn.IFS(OR(D54="M", D54="Male"), "Male", OR(D54="F", D54="Female"), "Female", TRUE, "Other")</f>
        <v>Female</v>
      </c>
      <c r="U55" t="str">
        <f t="shared" si="1"/>
        <v>tiya Batra</v>
      </c>
      <c r="W55" t="str">
        <f t="shared" si="2"/>
        <v>tiya Batra</v>
      </c>
      <c r="Y55">
        <f t="shared" ca="1" si="3"/>
        <v>50</v>
      </c>
      <c r="AA55" s="5" t="str">
        <f t="shared" ca="1" si="4"/>
        <v>No</v>
      </c>
      <c r="AC55" s="5" t="str">
        <f>RIGHT(TRIM(G54), 6)</f>
        <v>701277</v>
      </c>
      <c r="AE55" t="s">
        <v>28</v>
      </c>
      <c r="AG55">
        <v>50</v>
      </c>
      <c r="AI55" t="str">
        <f>REPLACE(F54, 1, SEARCH("@", F54), "")</f>
        <v>kota.com</v>
      </c>
      <c r="AK55">
        <v>61</v>
      </c>
      <c r="AM55" t="s">
        <v>28</v>
      </c>
    </row>
    <row r="56" spans="1:39" ht="28.8" hidden="1">
      <c r="A56" t="s">
        <v>3465</v>
      </c>
      <c r="B56" t="s">
        <v>248</v>
      </c>
      <c r="C56" s="1">
        <v>30280</v>
      </c>
      <c r="D56" t="s">
        <v>28</v>
      </c>
      <c r="E56">
        <v>6618892414</v>
      </c>
      <c r="F56" t="s">
        <v>249</v>
      </c>
      <c r="G56" s="2" t="s">
        <v>250</v>
      </c>
      <c r="H56">
        <v>5884252410</v>
      </c>
      <c r="I56" t="s">
        <v>251</v>
      </c>
      <c r="J56">
        <v>48</v>
      </c>
      <c r="K56" t="str">
        <f t="shared" ca="1" si="0"/>
        <v>30-60</v>
      </c>
      <c r="M56" t="str">
        <v>Tanya</v>
      </c>
      <c r="N56" t="str">
        <v>Dada</v>
      </c>
      <c r="P56" t="str">
        <v>Tanya</v>
      </c>
      <c r="Q56" t="str">
        <v>Dada</v>
      </c>
      <c r="S56" t="str" cm="1">
        <f t="array" ref="S56">_xlfn.IFS(OR(D55="M", D55="Male"), "Male", OR(D55="F", D55="Female"), "Female", TRUE, "Other")</f>
        <v>Male</v>
      </c>
      <c r="U56" t="str">
        <f t="shared" si="1"/>
        <v>tanya Dada</v>
      </c>
      <c r="W56" t="str">
        <f t="shared" si="2"/>
        <v>tanya Dada</v>
      </c>
      <c r="Y56">
        <f t="shared" ca="1" si="3"/>
        <v>48</v>
      </c>
      <c r="AA56" s="5" t="str">
        <f t="shared" ca="1" si="4"/>
        <v>No</v>
      </c>
      <c r="AC56" s="5" t="str">
        <f>RIGHT(TRIM(G55), 6)</f>
        <v>542622</v>
      </c>
      <c r="AE56" t="s">
        <v>15</v>
      </c>
      <c r="AG56">
        <v>48</v>
      </c>
      <c r="AI56" t="str">
        <f>REPLACE(F55, 1, SEARCH("@", F55), "")</f>
        <v>yahoo.com</v>
      </c>
      <c r="AK56">
        <v>61</v>
      </c>
      <c r="AM56" t="s">
        <v>15</v>
      </c>
    </row>
    <row r="57" spans="1:39">
      <c r="A57" t="s">
        <v>3466</v>
      </c>
      <c r="B57" t="s">
        <v>268</v>
      </c>
      <c r="C57" s="1">
        <v>33800</v>
      </c>
      <c r="D57" t="s">
        <v>15</v>
      </c>
      <c r="E57">
        <v>3806578759</v>
      </c>
      <c r="F57" t="s">
        <v>269</v>
      </c>
      <c r="G57" t="s">
        <v>270</v>
      </c>
      <c r="H57">
        <v>9652239559</v>
      </c>
      <c r="I57" t="s">
        <v>271</v>
      </c>
      <c r="J57">
        <f ca="1">DATEDIF(C61, TODAY(), "y")</f>
        <v>30</v>
      </c>
      <c r="K57" t="str">
        <f t="shared" ca="1" si="0"/>
        <v>30-60</v>
      </c>
      <c r="M57" t="str">
        <v>Mishti</v>
      </c>
      <c r="N57" t="str">
        <v>Sawhney</v>
      </c>
      <c r="P57" t="str">
        <v>Mishti</v>
      </c>
      <c r="Q57" t="str">
        <v>Sawhney</v>
      </c>
      <c r="S57" t="str" cm="1">
        <f t="array" ref="S57">_xlfn.IFS(OR(D56="M", D56="Male"), "Male", OR(D56="F", D56="Female"), "Female", TRUE, "Other")</f>
        <v>Female</v>
      </c>
      <c r="U57" t="str">
        <f t="shared" si="1"/>
        <v>mishti Sawhney</v>
      </c>
      <c r="W57" t="str">
        <f t="shared" si="2"/>
        <v>mishti Sawhney</v>
      </c>
      <c r="Y57">
        <f t="shared" ca="1" si="3"/>
        <v>43</v>
      </c>
      <c r="AA57" s="5" t="str">
        <f t="shared" ca="1" si="4"/>
        <v>No</v>
      </c>
      <c r="AC57" s="5" t="str">
        <f>RIGHT(TRIM(G56), 6)</f>
        <v>102027</v>
      </c>
      <c r="AE57" t="s">
        <v>28</v>
      </c>
      <c r="AG57">
        <v>43</v>
      </c>
      <c r="AI57" t="str">
        <f>REPLACE(F56, 1, SEARCH("@", F56), "")</f>
        <v>gade.com</v>
      </c>
      <c r="AK57">
        <v>60</v>
      </c>
      <c r="AM57" t="s">
        <v>28</v>
      </c>
    </row>
    <row r="58" spans="1:39" ht="28.8" hidden="1">
      <c r="A58" t="s">
        <v>3467</v>
      </c>
      <c r="B58" t="s">
        <v>276</v>
      </c>
      <c r="C58" s="1">
        <v>35942</v>
      </c>
      <c r="D58" t="s">
        <v>15</v>
      </c>
      <c r="E58">
        <v>919690295939</v>
      </c>
      <c r="F58" t="s">
        <v>277</v>
      </c>
      <c r="G58" s="2" t="s">
        <v>278</v>
      </c>
      <c r="H58">
        <v>2676586179</v>
      </c>
      <c r="I58" t="s">
        <v>279</v>
      </c>
      <c r="J58">
        <v>33</v>
      </c>
      <c r="K58" t="str">
        <f t="shared" ca="1" si="0"/>
        <v>30-60</v>
      </c>
      <c r="M58" t="str">
        <v>Aaina</v>
      </c>
      <c r="N58" t="str">
        <v>Chaudhry</v>
      </c>
      <c r="P58" t="str">
        <v>Aaina</v>
      </c>
      <c r="Q58" t="str">
        <v>Chaudhry</v>
      </c>
      <c r="S58" t="str" cm="1">
        <f t="array" ref="S58">_xlfn.IFS(OR(D57="M", D57="Male"), "Male", OR(D57="F", D57="Female"), "Female", TRUE, "Other")</f>
        <v>Male</v>
      </c>
      <c r="U58" t="str">
        <f t="shared" si="1"/>
        <v>aaina Chaudhry</v>
      </c>
      <c r="W58" t="str">
        <f t="shared" si="2"/>
        <v>aaina Chaudhry</v>
      </c>
      <c r="Y58">
        <f t="shared" ca="1" si="3"/>
        <v>33</v>
      </c>
      <c r="AA58" s="5" t="str">
        <f t="shared" ca="1" si="4"/>
        <v>No</v>
      </c>
      <c r="AC58" s="5" t="str">
        <f>RIGHT(TRIM(G57), 6)</f>
        <v>334803</v>
      </c>
      <c r="AE58" t="s">
        <v>15</v>
      </c>
      <c r="AG58">
        <v>33</v>
      </c>
      <c r="AI58" t="str">
        <f>REPLACE(F57, 1, SEARCH("@", F57), "")</f>
        <v>gmail.com</v>
      </c>
      <c r="AK58">
        <v>60</v>
      </c>
      <c r="AM58" t="s">
        <v>15</v>
      </c>
    </row>
    <row r="59" spans="1:39" hidden="1">
      <c r="A59" t="s">
        <v>3468</v>
      </c>
      <c r="B59" t="s">
        <v>283</v>
      </c>
      <c r="C59" s="1">
        <v>27706</v>
      </c>
      <c r="D59" t="s">
        <v>10</v>
      </c>
      <c r="E59">
        <v>7418625652</v>
      </c>
      <c r="F59" t="s">
        <v>284</v>
      </c>
      <c r="G59" t="s">
        <v>285</v>
      </c>
      <c r="H59">
        <v>6868793741</v>
      </c>
      <c r="I59" t="s">
        <v>286</v>
      </c>
      <c r="J59">
        <v>27</v>
      </c>
      <c r="K59" t="str">
        <f t="shared" ca="1" si="0"/>
        <v>&lt;30</v>
      </c>
      <c r="M59" t="str">
        <v>Gokul</v>
      </c>
      <c r="N59" t="str">
        <v>Chakrabarti</v>
      </c>
      <c r="P59" t="str">
        <v>Gokul</v>
      </c>
      <c r="Q59" t="str">
        <v>Chakrabarti</v>
      </c>
      <c r="S59" t="str" cm="1">
        <f t="array" ref="S59">_xlfn.IFS(OR(D58="M", D58="Male"), "Male", OR(D58="F", D58="Female"), "Female", TRUE, "Other")</f>
        <v>Male</v>
      </c>
      <c r="U59" t="str">
        <f t="shared" si="1"/>
        <v>gokul Chakrabarti</v>
      </c>
      <c r="W59" t="str">
        <f t="shared" si="2"/>
        <v>gokul Chakrabarti</v>
      </c>
      <c r="Y59">
        <f t="shared" ca="1" si="3"/>
        <v>27</v>
      </c>
      <c r="AA59" s="5" t="str">
        <f t="shared" ca="1" si="4"/>
        <v>No</v>
      </c>
      <c r="AC59" s="5" t="str">
        <f>RIGHT(TRIM(G58), 6)</f>
        <v>100676</v>
      </c>
      <c r="AE59" t="s">
        <v>15</v>
      </c>
      <c r="AG59">
        <v>27</v>
      </c>
      <c r="AI59" t="str">
        <f>REPLACE(F58, 1, SEARCH("@", F58), "")</f>
        <v>barad.com</v>
      </c>
      <c r="AK59">
        <v>59</v>
      </c>
      <c r="AM59" t="s">
        <v>15</v>
      </c>
    </row>
    <row r="60" spans="1:39" ht="28.8" hidden="1">
      <c r="A60" t="s">
        <v>3469</v>
      </c>
      <c r="B60" t="s">
        <v>287</v>
      </c>
      <c r="C60" s="1">
        <v>36647</v>
      </c>
      <c r="D60" t="s">
        <v>15</v>
      </c>
      <c r="E60">
        <v>2233206163</v>
      </c>
      <c r="F60" t="s">
        <v>288</v>
      </c>
      <c r="G60" s="2" t="s">
        <v>289</v>
      </c>
      <c r="H60">
        <v>1914856467</v>
      </c>
      <c r="I60" t="s">
        <v>290</v>
      </c>
      <c r="J60">
        <v>50</v>
      </c>
      <c r="K60" t="str">
        <f t="shared" ca="1" si="0"/>
        <v>30-60</v>
      </c>
      <c r="M60" t="str">
        <v>Ryan</v>
      </c>
      <c r="N60" t="str">
        <v>Srinivasan</v>
      </c>
      <c r="P60" t="str">
        <v>Ryan</v>
      </c>
      <c r="Q60" t="str">
        <v>Srinivasan</v>
      </c>
      <c r="S60" t="str" cm="1">
        <f t="array" ref="S60">_xlfn.IFS(OR(D59="M", D59="Male"), "Male", OR(D59="F", D59="Female"), "Female", TRUE, "Other")</f>
        <v>Other</v>
      </c>
      <c r="U60" t="str">
        <f t="shared" si="1"/>
        <v>ryan Srinivasan</v>
      </c>
      <c r="W60" t="str">
        <f t="shared" si="2"/>
        <v>ryan Srinivasan</v>
      </c>
      <c r="Y60">
        <f t="shared" ca="1" si="3"/>
        <v>50</v>
      </c>
      <c r="AA60" s="5" t="str">
        <f t="shared" ca="1" si="4"/>
        <v>No</v>
      </c>
      <c r="AC60" s="5" t="str">
        <f>RIGHT(TRIM(G59), 6)</f>
        <v>869380</v>
      </c>
      <c r="AE60" t="s">
        <v>10</v>
      </c>
      <c r="AG60">
        <v>50</v>
      </c>
      <c r="AI60" t="str">
        <f>REPLACE(F59, 1, SEARCH("@", F59), "")</f>
        <v>yahoo.com</v>
      </c>
      <c r="AK60">
        <v>59</v>
      </c>
      <c r="AM60" t="s">
        <v>10</v>
      </c>
    </row>
    <row r="61" spans="1:39" ht="43.2" hidden="1">
      <c r="A61" t="s">
        <v>3470</v>
      </c>
      <c r="B61" t="s">
        <v>291</v>
      </c>
      <c r="C61" s="1">
        <v>35068</v>
      </c>
      <c r="D61" t="s">
        <v>28</v>
      </c>
      <c r="E61">
        <v>653074505</v>
      </c>
      <c r="F61" t="s">
        <v>292</v>
      </c>
      <c r="G61" s="2" t="s">
        <v>293</v>
      </c>
      <c r="H61">
        <v>1486289023</v>
      </c>
      <c r="I61" t="s">
        <v>294</v>
      </c>
      <c r="J61">
        <v>25</v>
      </c>
      <c r="K61" t="str">
        <f t="shared" ca="1" si="0"/>
        <v>&lt;30</v>
      </c>
      <c r="M61" t="str">
        <v>Hunar</v>
      </c>
      <c r="N61" t="str">
        <v>Bhasin</v>
      </c>
      <c r="P61" t="str">
        <v>Hunar</v>
      </c>
      <c r="Q61" t="str">
        <v>Bhasin</v>
      </c>
      <c r="S61" t="str" cm="1">
        <f t="array" ref="S61">_xlfn.IFS(OR(D60="M", D60="Male"), "Male", OR(D60="F", D60="Female"), "Female", TRUE, "Other")</f>
        <v>Male</v>
      </c>
      <c r="U61" t="str">
        <f t="shared" si="1"/>
        <v>hunar Bhasin</v>
      </c>
      <c r="W61" t="str">
        <f t="shared" si="2"/>
        <v>hunar Bhasin</v>
      </c>
      <c r="Y61">
        <f t="shared" ca="1" si="3"/>
        <v>25</v>
      </c>
      <c r="AA61" s="5" t="str">
        <f t="shared" ca="1" si="4"/>
        <v>No</v>
      </c>
      <c r="AC61" s="5" t="str">
        <f>RIGHT(TRIM(G60), 6)</f>
        <v>229991</v>
      </c>
      <c r="AE61" t="s">
        <v>15</v>
      </c>
      <c r="AG61">
        <v>25</v>
      </c>
      <c r="AI61" t="str">
        <f>REPLACE(F60, 1, SEARCH("@", F60), "")</f>
        <v>mall-issac.net</v>
      </c>
      <c r="AK61">
        <v>59</v>
      </c>
      <c r="AM61" t="s">
        <v>15</v>
      </c>
    </row>
    <row r="62" spans="1:39" ht="43.2">
      <c r="A62" t="s">
        <v>3471</v>
      </c>
      <c r="B62" t="s">
        <v>295</v>
      </c>
      <c r="C62" s="1">
        <v>38295</v>
      </c>
      <c r="D62" t="s">
        <v>15</v>
      </c>
      <c r="E62">
        <v>8610357972</v>
      </c>
      <c r="F62" t="s">
        <v>296</v>
      </c>
      <c r="G62" s="2" t="s">
        <v>297</v>
      </c>
      <c r="H62">
        <v>7229034944</v>
      </c>
      <c r="I62" t="s">
        <v>298</v>
      </c>
      <c r="J62">
        <f ca="1">DATEDIF(C66, TODAY(), "y")</f>
        <v>52</v>
      </c>
      <c r="K62" t="str">
        <f t="shared" ca="1" si="0"/>
        <v>30-60</v>
      </c>
      <c r="M62" t="str">
        <v>Mahika</v>
      </c>
      <c r="N62" t="str">
        <v>Sangha</v>
      </c>
      <c r="P62" t="str">
        <v>Mahika</v>
      </c>
      <c r="Q62" t="str">
        <v>Sangha</v>
      </c>
      <c r="S62" t="str" cm="1">
        <f t="array" ref="S62">_xlfn.IFS(OR(D61="M", D61="Male"), "Male", OR(D61="F", D61="Female"), "Female", TRUE, "Other")</f>
        <v>Female</v>
      </c>
      <c r="U62" t="str">
        <f t="shared" si="1"/>
        <v>mahika Sangha</v>
      </c>
      <c r="W62" t="str">
        <f t="shared" si="2"/>
        <v>mahika Sangha</v>
      </c>
      <c r="Y62">
        <f t="shared" ca="1" si="3"/>
        <v>30</v>
      </c>
      <c r="AA62" s="5" t="str">
        <f t="shared" ca="1" si="4"/>
        <v>No</v>
      </c>
      <c r="AC62" s="5" t="str">
        <f>RIGHT(TRIM(G61), 6)</f>
        <v>785082</v>
      </c>
      <c r="AE62" t="s">
        <v>28</v>
      </c>
      <c r="AG62">
        <v>30</v>
      </c>
      <c r="AI62" t="str">
        <f>REPLACE(F61, 1, SEARCH("@", F61), "")</f>
        <v>gmail.com</v>
      </c>
      <c r="AK62">
        <v>58</v>
      </c>
      <c r="AM62" t="s">
        <v>28</v>
      </c>
    </row>
    <row r="63" spans="1:39" ht="28.8" hidden="1">
      <c r="A63" t="s">
        <v>3472</v>
      </c>
      <c r="B63" t="s">
        <v>299</v>
      </c>
      <c r="C63" s="1">
        <v>33326</v>
      </c>
      <c r="D63" t="s">
        <v>15</v>
      </c>
      <c r="E63">
        <v>9108589944</v>
      </c>
      <c r="F63" t="s">
        <v>300</v>
      </c>
      <c r="G63" s="2" t="s">
        <v>301</v>
      </c>
      <c r="H63">
        <v>6099353875</v>
      </c>
      <c r="I63" t="s">
        <v>302</v>
      </c>
      <c r="J63">
        <v>21</v>
      </c>
      <c r="K63" t="str">
        <f t="shared" ca="1" si="0"/>
        <v>&lt;30</v>
      </c>
      <c r="M63" t="str">
        <v>Raghav</v>
      </c>
      <c r="N63" t="str">
        <v>Gour</v>
      </c>
      <c r="P63" t="str">
        <v>Raghav</v>
      </c>
      <c r="Q63" t="str">
        <v>Gour</v>
      </c>
      <c r="S63" t="str" cm="1">
        <f t="array" ref="S63">_xlfn.IFS(OR(D62="M", D62="Male"), "Male", OR(D62="F", D62="Female"), "Female", TRUE, "Other")</f>
        <v>Male</v>
      </c>
      <c r="U63" t="str">
        <f t="shared" si="1"/>
        <v>raghav Gour</v>
      </c>
      <c r="W63" t="str">
        <f t="shared" si="2"/>
        <v>raghav Gour</v>
      </c>
      <c r="Y63">
        <f t="shared" ca="1" si="3"/>
        <v>21</v>
      </c>
      <c r="AA63" s="5" t="str">
        <f t="shared" ca="1" si="4"/>
        <v>No</v>
      </c>
      <c r="AC63" s="5" t="str">
        <f>RIGHT(TRIM(G62), 6)</f>
        <v>346800</v>
      </c>
      <c r="AE63" t="s">
        <v>15</v>
      </c>
      <c r="AG63">
        <v>21</v>
      </c>
      <c r="AI63" t="str">
        <f>REPLACE(F62, 1, SEARCH("@", F62), "")</f>
        <v>hotmail.com</v>
      </c>
      <c r="AK63">
        <v>58</v>
      </c>
      <c r="AM63" t="s">
        <v>15</v>
      </c>
    </row>
    <row r="64" spans="1:39" ht="43.2" hidden="1">
      <c r="A64" t="s">
        <v>3473</v>
      </c>
      <c r="B64" t="s">
        <v>303</v>
      </c>
      <c r="C64" s="1">
        <v>35851</v>
      </c>
      <c r="D64" t="s">
        <v>15</v>
      </c>
      <c r="E64">
        <v>2513534655</v>
      </c>
      <c r="F64" t="s">
        <v>304</v>
      </c>
      <c r="G64" s="2" t="s">
        <v>305</v>
      </c>
      <c r="H64">
        <v>2521752500</v>
      </c>
      <c r="I64" t="s">
        <v>306</v>
      </c>
      <c r="J64">
        <v>35</v>
      </c>
      <c r="K64" t="str">
        <f t="shared" ca="1" si="0"/>
        <v>30-60</v>
      </c>
      <c r="M64" t="str">
        <v>Elakshi</v>
      </c>
      <c r="N64" t="str">
        <v>Tella</v>
      </c>
      <c r="P64" t="str">
        <v>Elakshi</v>
      </c>
      <c r="Q64" t="str">
        <v>Tella</v>
      </c>
      <c r="S64" t="str" cm="1">
        <f t="array" ref="S64">_xlfn.IFS(OR(D63="M", D63="Male"), "Male", OR(D63="F", D63="Female"), "Female", TRUE, "Other")</f>
        <v>Male</v>
      </c>
      <c r="U64" t="str">
        <f t="shared" si="1"/>
        <v>elakshi Tella</v>
      </c>
      <c r="W64" t="str">
        <f t="shared" si="2"/>
        <v>elakshi Tella</v>
      </c>
      <c r="Y64">
        <f t="shared" ca="1" si="3"/>
        <v>35</v>
      </c>
      <c r="AA64" s="5" t="str">
        <f t="shared" ca="1" si="4"/>
        <v>No</v>
      </c>
      <c r="AC64" s="5" t="str">
        <f>RIGHT(TRIM(G63), 6)</f>
        <v>074466</v>
      </c>
      <c r="AE64" t="s">
        <v>15</v>
      </c>
      <c r="AG64">
        <v>35</v>
      </c>
      <c r="AI64" t="str">
        <f>REPLACE(F63, 1, SEARCH("@", F63), "")</f>
        <v>reddy-gaba.com</v>
      </c>
      <c r="AK64">
        <v>58</v>
      </c>
      <c r="AM64" t="s">
        <v>15</v>
      </c>
    </row>
    <row r="65" spans="1:39" ht="28.8" hidden="1">
      <c r="A65" t="s">
        <v>3474</v>
      </c>
      <c r="B65" t="s">
        <v>307</v>
      </c>
      <c r="C65" s="1">
        <v>20015</v>
      </c>
      <c r="D65" t="s">
        <v>28</v>
      </c>
      <c r="E65">
        <v>919666676008</v>
      </c>
      <c r="F65" t="s">
        <v>308</v>
      </c>
      <c r="G65" s="2" t="s">
        <v>309</v>
      </c>
      <c r="H65">
        <v>8562575326</v>
      </c>
      <c r="I65" t="s">
        <v>310</v>
      </c>
      <c r="J65">
        <v>28</v>
      </c>
      <c r="K65" t="str">
        <f t="shared" ca="1" si="0"/>
        <v>&lt;30</v>
      </c>
      <c r="M65" t="str">
        <v>Seher</v>
      </c>
      <c r="N65" t="str">
        <v>Dayal</v>
      </c>
      <c r="P65" t="str">
        <v>Seher</v>
      </c>
      <c r="Q65" t="str">
        <v>Dayal</v>
      </c>
      <c r="S65" t="str" cm="1">
        <f t="array" ref="S65">_xlfn.IFS(OR(D64="M", D64="Male"), "Male", OR(D64="F", D64="Female"), "Female", TRUE, "Other")</f>
        <v>Male</v>
      </c>
      <c r="U65" t="str">
        <f t="shared" si="1"/>
        <v>seher Dayal</v>
      </c>
      <c r="W65" t="str">
        <f t="shared" si="2"/>
        <v>seher Dayal</v>
      </c>
      <c r="Y65">
        <f t="shared" ca="1" si="3"/>
        <v>28</v>
      </c>
      <c r="AA65" s="5" t="str">
        <f t="shared" ca="1" si="4"/>
        <v>No</v>
      </c>
      <c r="AC65" s="5" t="str">
        <f>RIGHT(TRIM(G64), 6)</f>
        <v>235697</v>
      </c>
      <c r="AE65" t="s">
        <v>15</v>
      </c>
      <c r="AG65">
        <v>28</v>
      </c>
      <c r="AI65" t="str">
        <f>REPLACE(F64, 1, SEARCH("@", F64), "")</f>
        <v>gmail.com</v>
      </c>
      <c r="AK65">
        <v>58</v>
      </c>
      <c r="AM65" t="s">
        <v>15</v>
      </c>
    </row>
    <row r="66" spans="1:39">
      <c r="A66" t="s">
        <v>3475</v>
      </c>
      <c r="B66" t="s">
        <v>311</v>
      </c>
      <c r="C66" s="1">
        <v>26938</v>
      </c>
      <c r="D66" t="s">
        <v>28</v>
      </c>
      <c r="E66">
        <v>648909010</v>
      </c>
      <c r="F66" t="s">
        <v>312</v>
      </c>
      <c r="G66" t="s">
        <v>313</v>
      </c>
      <c r="H66">
        <v>1173934835</v>
      </c>
      <c r="I66" t="s">
        <v>314</v>
      </c>
      <c r="J66">
        <f t="shared" ref="J66:J68" ca="1" si="7">DATEDIF(C70, TODAY(), "y")</f>
        <v>21</v>
      </c>
      <c r="K66" t="str">
        <f t="shared" ca="1" si="0"/>
        <v>&gt;60</v>
      </c>
      <c r="M66" t="str">
        <v>Tarini</v>
      </c>
      <c r="N66" t="str">
        <v>Sridhar</v>
      </c>
      <c r="P66" t="str">
        <v>Tarini</v>
      </c>
      <c r="Q66" t="str">
        <v>Sridhar</v>
      </c>
      <c r="S66" t="str" cm="1">
        <f t="array" ref="S66">_xlfn.IFS(OR(D65="M", D65="Male"), "Male", OR(D65="F", D65="Female"), "Female", TRUE, "Other")</f>
        <v>Female</v>
      </c>
      <c r="U66" t="str">
        <f t="shared" si="1"/>
        <v>tarini Sridhar</v>
      </c>
      <c r="W66" t="str">
        <f t="shared" si="2"/>
        <v>tarini Sridhar</v>
      </c>
      <c r="Y66">
        <f t="shared" ca="1" si="3"/>
        <v>71</v>
      </c>
      <c r="AA66" s="5" t="str">
        <f t="shared" ca="1" si="4"/>
        <v>Yes</v>
      </c>
      <c r="AC66" s="5" t="str">
        <f>RIGHT(TRIM(G65), 6)</f>
        <v>044789</v>
      </c>
      <c r="AE66" t="s">
        <v>28</v>
      </c>
      <c r="AG66">
        <v>71</v>
      </c>
      <c r="AI66" t="str">
        <f>REPLACE(F65, 1, SEARCH("@", F65), "")</f>
        <v>andra.com</v>
      </c>
      <c r="AK66">
        <v>58</v>
      </c>
      <c r="AM66" t="s">
        <v>28</v>
      </c>
    </row>
    <row r="67" spans="1:39" ht="43.2">
      <c r="A67" t="s">
        <v>3476</v>
      </c>
      <c r="B67" t="s">
        <v>315</v>
      </c>
      <c r="C67" s="1">
        <v>17895</v>
      </c>
      <c r="D67" t="s">
        <v>28</v>
      </c>
      <c r="E67">
        <v>911197218114</v>
      </c>
      <c r="F67" t="s">
        <v>316</v>
      </c>
      <c r="G67" s="2" t="s">
        <v>317</v>
      </c>
      <c r="H67">
        <v>1552166746</v>
      </c>
      <c r="I67" t="s">
        <v>318</v>
      </c>
      <c r="J67">
        <f t="shared" ca="1" si="7"/>
        <v>29</v>
      </c>
      <c r="K67" t="str">
        <f t="shared" ca="1" si="0"/>
        <v>30-60</v>
      </c>
      <c r="M67" t="str">
        <v>Jayan</v>
      </c>
      <c r="N67" t="str">
        <v>Bhatia</v>
      </c>
      <c r="P67" t="str">
        <v>Jayan</v>
      </c>
      <c r="Q67" t="str">
        <v>Bhatia</v>
      </c>
      <c r="S67" t="str" cm="1">
        <f t="array" ref="S67">_xlfn.IFS(OR(D66="M", D66="Male"), "Male", OR(D66="F", D66="Female"), "Female", TRUE, "Other")</f>
        <v>Female</v>
      </c>
      <c r="U67" t="str">
        <f t="shared" si="1"/>
        <v>jayan Bhatia</v>
      </c>
      <c r="W67" t="str">
        <f t="shared" si="2"/>
        <v>jayan Bhatia</v>
      </c>
      <c r="Y67">
        <f t="shared" ca="1" si="3"/>
        <v>52</v>
      </c>
      <c r="AA67" s="5" t="str">
        <f t="shared" ca="1" si="4"/>
        <v>No</v>
      </c>
      <c r="AC67" s="5" t="str">
        <f>RIGHT(TRIM(G66), 6)</f>
        <v>618914</v>
      </c>
      <c r="AE67" t="s">
        <v>28</v>
      </c>
      <c r="AG67">
        <v>52</v>
      </c>
      <c r="AI67" t="str">
        <f>REPLACE(F66, 1, SEARCH("@", F66), "")</f>
        <v>bhatia-mahal.com</v>
      </c>
      <c r="AK67">
        <v>58</v>
      </c>
      <c r="AM67" t="s">
        <v>28</v>
      </c>
    </row>
    <row r="68" spans="1:39" ht="28.8">
      <c r="A68" t="s">
        <v>3477</v>
      </c>
      <c r="B68" t="s">
        <v>319</v>
      </c>
      <c r="C68" s="1">
        <v>32510</v>
      </c>
      <c r="D68" t="s">
        <v>10</v>
      </c>
      <c r="E68">
        <v>9729659027</v>
      </c>
      <c r="F68" t="s">
        <v>320</v>
      </c>
      <c r="G68" s="2" t="s">
        <v>321</v>
      </c>
      <c r="H68">
        <v>8900287721</v>
      </c>
      <c r="I68" t="s">
        <v>322</v>
      </c>
      <c r="J68">
        <f t="shared" ca="1" si="7"/>
        <v>55</v>
      </c>
      <c r="K68" t="str">
        <f t="shared" ref="K68:K131" ca="1" si="8">IF(Y68&lt;30,"&lt;30",IF(Y68&lt;=60,"30-60","&gt;60"))</f>
        <v>&gt;60</v>
      </c>
      <c r="M68" t="str">
        <v>Shalv</v>
      </c>
      <c r="N68" t="str">
        <v>Dalal</v>
      </c>
      <c r="P68" t="str">
        <v>Shalv</v>
      </c>
      <c r="Q68" t="str">
        <v>Dalal</v>
      </c>
      <c r="S68" t="str" cm="1">
        <f t="array" ref="S68">_xlfn.IFS(OR(D67="M", D67="Male"), "Male", OR(D67="F", D67="Female"), "Female", TRUE, "Other")</f>
        <v>Female</v>
      </c>
      <c r="U68" t="str">
        <f t="shared" ref="U68:U131" si="9">A67&amp;" "&amp;B67</f>
        <v>shalv Dalal</v>
      </c>
      <c r="W68" t="str">
        <f t="shared" ref="W68:W131" si="10">CONCATENATE(A67," ",B67)</f>
        <v>shalv Dalal</v>
      </c>
      <c r="Y68">
        <f t="shared" ref="Y68:Y131" ca="1" si="11">DATEDIF(C67, TODAY(), "y")</f>
        <v>77</v>
      </c>
      <c r="AA68" s="5" t="str">
        <f t="shared" ref="AA68:AA131" ca="1" si="12">IF(Y68 &gt; 60, "Yes", "No")</f>
        <v>Yes</v>
      </c>
      <c r="AC68" s="5" t="str">
        <f t="shared" ref="AC68:AC131" si="13">RIGHT(TRIM(G67), 6)</f>
        <v>255794</v>
      </c>
      <c r="AE68" t="s">
        <v>28</v>
      </c>
      <c r="AG68">
        <v>77</v>
      </c>
      <c r="AI68" t="str">
        <f>REPLACE(F67, 1, SEARCH("@", F67), "")</f>
        <v>bakshi-bedi.com</v>
      </c>
      <c r="AK68">
        <v>57</v>
      </c>
      <c r="AM68" t="s">
        <v>28</v>
      </c>
    </row>
    <row r="69" spans="1:39" ht="28.8" hidden="1">
      <c r="A69" t="s">
        <v>3478</v>
      </c>
      <c r="B69" t="s">
        <v>323</v>
      </c>
      <c r="C69" s="1">
        <v>27850</v>
      </c>
      <c r="D69" t="s">
        <v>28</v>
      </c>
      <c r="E69">
        <v>911779717751</v>
      </c>
      <c r="F69" t="s">
        <v>324</v>
      </c>
      <c r="G69" s="2" t="s">
        <v>325</v>
      </c>
      <c r="H69">
        <v>9975711305</v>
      </c>
      <c r="I69" t="s">
        <v>326</v>
      </c>
      <c r="J69">
        <v>37</v>
      </c>
      <c r="K69" t="str">
        <f t="shared" ca="1" si="8"/>
        <v>30-60</v>
      </c>
      <c r="M69" t="str">
        <v>Ehsaan</v>
      </c>
      <c r="N69" t="str">
        <v>Joshi</v>
      </c>
      <c r="P69" t="str">
        <v>Ehsaan</v>
      </c>
      <c r="Q69" t="str">
        <v>Joshi</v>
      </c>
      <c r="S69" t="str" cm="1">
        <f t="array" ref="S69">_xlfn.IFS(OR(D68="M", D68="Male"), "Male", OR(D68="F", D68="Female"), "Female", TRUE, "Other")</f>
        <v>Other</v>
      </c>
      <c r="U69" t="str">
        <f t="shared" si="9"/>
        <v>ehsaan Joshi</v>
      </c>
      <c r="W69" t="str">
        <f t="shared" si="10"/>
        <v>ehsaan Joshi</v>
      </c>
      <c r="Y69">
        <f t="shared" ca="1" si="11"/>
        <v>37</v>
      </c>
      <c r="AA69" s="5" t="str">
        <f t="shared" ca="1" si="12"/>
        <v>No</v>
      </c>
      <c r="AC69" s="5" t="str">
        <f t="shared" si="13"/>
        <v>637562</v>
      </c>
      <c r="AE69" t="s">
        <v>10</v>
      </c>
      <c r="AG69">
        <v>37</v>
      </c>
      <c r="AI69" t="str">
        <f>REPLACE(F68, 1, SEARCH("@", F68), "")</f>
        <v>yahoo.com</v>
      </c>
      <c r="AK69">
        <v>57</v>
      </c>
      <c r="AM69" t="s">
        <v>10</v>
      </c>
    </row>
    <row r="70" spans="1:39" ht="28.8">
      <c r="A70" t="s">
        <v>3479</v>
      </c>
      <c r="B70" t="s">
        <v>264</v>
      </c>
      <c r="C70" s="1">
        <v>38253</v>
      </c>
      <c r="D70" t="s">
        <v>15</v>
      </c>
      <c r="E70">
        <v>6149331637</v>
      </c>
      <c r="F70" t="s">
        <v>327</v>
      </c>
      <c r="G70" s="2" t="s">
        <v>328</v>
      </c>
      <c r="H70">
        <v>2169958669</v>
      </c>
      <c r="I70" t="s">
        <v>329</v>
      </c>
      <c r="J70">
        <f ca="1">DATEDIF(C74, TODAY(), "y")</f>
        <v>46</v>
      </c>
      <c r="K70" t="str">
        <f t="shared" ca="1" si="8"/>
        <v>30-60</v>
      </c>
      <c r="M70" t="str">
        <v>Nayantara</v>
      </c>
      <c r="N70" t="str">
        <v>Gulati</v>
      </c>
      <c r="P70" t="str">
        <v>Nayantara</v>
      </c>
      <c r="Q70" t="str">
        <v>Gulati</v>
      </c>
      <c r="S70" t="str" cm="1">
        <f t="array" ref="S70">_xlfn.IFS(OR(D69="M", D69="Male"), "Male", OR(D69="F", D69="Female"), "Female", TRUE, "Other")</f>
        <v>Female</v>
      </c>
      <c r="U70" t="str">
        <f t="shared" si="9"/>
        <v>nayantara Gulati</v>
      </c>
      <c r="W70" t="str">
        <f t="shared" si="10"/>
        <v>nayantara Gulati</v>
      </c>
      <c r="Y70">
        <f t="shared" ca="1" si="11"/>
        <v>50</v>
      </c>
      <c r="AA70" s="5" t="str">
        <f t="shared" ca="1" si="12"/>
        <v>No</v>
      </c>
      <c r="AC70" s="5" t="str">
        <f t="shared" si="13"/>
        <v>503758</v>
      </c>
      <c r="AE70" t="s">
        <v>28</v>
      </c>
      <c r="AG70">
        <v>50</v>
      </c>
      <c r="AI70" t="str">
        <f>REPLACE(F69, 1, SEARCH("@", F69), "")</f>
        <v>yahoo.com</v>
      </c>
      <c r="AK70">
        <v>57</v>
      </c>
      <c r="AM70" t="s">
        <v>28</v>
      </c>
    </row>
    <row r="71" spans="1:39" hidden="1">
      <c r="A71" t="s">
        <v>3480</v>
      </c>
      <c r="B71" t="s">
        <v>330</v>
      </c>
      <c r="C71" s="1">
        <v>35225</v>
      </c>
      <c r="D71" t="s">
        <v>28</v>
      </c>
      <c r="E71">
        <v>8485833394</v>
      </c>
      <c r="F71" t="s">
        <v>331</v>
      </c>
      <c r="G71" t="s">
        <v>332</v>
      </c>
      <c r="H71">
        <v>2003424420</v>
      </c>
      <c r="I71" t="s">
        <v>333</v>
      </c>
      <c r="J71">
        <v>21</v>
      </c>
      <c r="K71" t="str">
        <f t="shared" ca="1" si="8"/>
        <v>&lt;30</v>
      </c>
      <c r="M71" t="str">
        <v>Bhamini</v>
      </c>
      <c r="N71" t="str">
        <v>Boase</v>
      </c>
      <c r="P71" t="str">
        <v>Bhamini</v>
      </c>
      <c r="Q71" t="str">
        <v>Boase</v>
      </c>
      <c r="S71" t="str" cm="1">
        <f t="array" ref="S71">_xlfn.IFS(OR(D70="M", D70="Male"), "Male", OR(D70="F", D70="Female"), "Female", TRUE, "Other")</f>
        <v>Male</v>
      </c>
      <c r="U71" t="str">
        <f t="shared" si="9"/>
        <v>bhamini Boase</v>
      </c>
      <c r="W71" t="str">
        <f t="shared" si="10"/>
        <v>bhamini Boase</v>
      </c>
      <c r="Y71">
        <f t="shared" ca="1" si="11"/>
        <v>21</v>
      </c>
      <c r="AA71" s="5" t="str">
        <f t="shared" ca="1" si="12"/>
        <v>No</v>
      </c>
      <c r="AC71" s="5" t="str">
        <f t="shared" si="13"/>
        <v>978292</v>
      </c>
      <c r="AE71" t="s">
        <v>15</v>
      </c>
      <c r="AG71">
        <v>21</v>
      </c>
      <c r="AI71" t="str">
        <f>REPLACE(F70, 1, SEARCH("@", F70), "")</f>
        <v>toor.com</v>
      </c>
      <c r="AK71">
        <v>56</v>
      </c>
      <c r="AM71" t="s">
        <v>15</v>
      </c>
    </row>
    <row r="72" spans="1:39">
      <c r="A72" t="s">
        <v>3481</v>
      </c>
      <c r="B72" t="s">
        <v>168</v>
      </c>
      <c r="C72" s="1">
        <v>25727</v>
      </c>
      <c r="D72" t="s">
        <v>15</v>
      </c>
      <c r="E72">
        <v>3281826886</v>
      </c>
      <c r="F72" t="s">
        <v>338</v>
      </c>
      <c r="G72" t="s">
        <v>339</v>
      </c>
      <c r="H72">
        <v>858877043</v>
      </c>
      <c r="I72" t="s">
        <v>340</v>
      </c>
      <c r="J72">
        <f ca="1">DATEDIF(C76, TODAY(), "y")</f>
        <v>39</v>
      </c>
      <c r="K72" t="str">
        <f t="shared" ca="1" si="8"/>
        <v>&lt;30</v>
      </c>
      <c r="M72" t="str">
        <v>Zain</v>
      </c>
      <c r="N72" t="str">
        <v>Ramachandran</v>
      </c>
      <c r="P72" t="str">
        <v>Zain</v>
      </c>
      <c r="Q72" t="str">
        <v>Ramachandran</v>
      </c>
      <c r="S72" t="str" cm="1">
        <f t="array" ref="S72">_xlfn.IFS(OR(D71="M", D71="Male"), "Male", OR(D71="F", D71="Female"), "Female", TRUE, "Other")</f>
        <v>Female</v>
      </c>
      <c r="U72" t="str">
        <f t="shared" si="9"/>
        <v>zain Ramachandran</v>
      </c>
      <c r="W72" t="str">
        <f t="shared" si="10"/>
        <v>zain Ramachandran</v>
      </c>
      <c r="Y72">
        <f t="shared" ca="1" si="11"/>
        <v>29</v>
      </c>
      <c r="AA72" s="5" t="str">
        <f t="shared" ca="1" si="12"/>
        <v>No</v>
      </c>
      <c r="AC72" s="5" t="str">
        <f t="shared" si="13"/>
        <v>608106</v>
      </c>
      <c r="AE72" t="s">
        <v>28</v>
      </c>
      <c r="AG72">
        <v>29</v>
      </c>
      <c r="AI72" t="str">
        <f>REPLACE(F71, 1, SEARCH("@", F71), "")</f>
        <v>gmail.com</v>
      </c>
      <c r="AK72">
        <v>56</v>
      </c>
      <c r="AM72" t="s">
        <v>28</v>
      </c>
    </row>
    <row r="73" spans="1:39" hidden="1">
      <c r="A73" t="s">
        <v>3482</v>
      </c>
      <c r="B73" t="s">
        <v>345</v>
      </c>
      <c r="C73" s="1">
        <v>23291</v>
      </c>
      <c r="D73" t="s">
        <v>28</v>
      </c>
      <c r="E73">
        <v>916842450882</v>
      </c>
      <c r="F73" t="s">
        <v>346</v>
      </c>
      <c r="G73" t="s">
        <v>347</v>
      </c>
      <c r="H73">
        <v>7814141397</v>
      </c>
      <c r="I73" t="s">
        <v>348</v>
      </c>
      <c r="J73">
        <v>55</v>
      </c>
      <c r="K73" t="str">
        <f t="shared" ca="1" si="8"/>
        <v>30-60</v>
      </c>
      <c r="M73" t="str">
        <v>Vardaniya</v>
      </c>
      <c r="N73" t="str">
        <v>Sathe</v>
      </c>
      <c r="P73" t="str">
        <v>Vardaniya</v>
      </c>
      <c r="Q73" t="str">
        <v>Sathe</v>
      </c>
      <c r="S73" t="str" cm="1">
        <f t="array" ref="S73">_xlfn.IFS(OR(D72="M", D72="Male"), "Male", OR(D72="F", D72="Female"), "Female", TRUE, "Other")</f>
        <v>Male</v>
      </c>
      <c r="U73" t="str">
        <f t="shared" si="9"/>
        <v>vardaniya Sathe</v>
      </c>
      <c r="W73" t="str">
        <f t="shared" si="10"/>
        <v>vardaniya Sathe</v>
      </c>
      <c r="Y73">
        <f t="shared" ca="1" si="11"/>
        <v>55</v>
      </c>
      <c r="AA73" s="5" t="str">
        <f t="shared" ca="1" si="12"/>
        <v>No</v>
      </c>
      <c r="AC73" s="5" t="str">
        <f t="shared" si="13"/>
        <v>616484</v>
      </c>
      <c r="AE73" t="s">
        <v>15</v>
      </c>
      <c r="AG73">
        <v>55</v>
      </c>
      <c r="AI73" t="str">
        <f>REPLACE(F72, 1, SEARCH("@", F72), "")</f>
        <v>gole-din.com</v>
      </c>
      <c r="AK73">
        <v>55</v>
      </c>
      <c r="AM73" t="s">
        <v>15</v>
      </c>
    </row>
    <row r="74" spans="1:39" ht="28.8">
      <c r="A74" t="s">
        <v>3483</v>
      </c>
      <c r="B74" t="s">
        <v>23</v>
      </c>
      <c r="C74" s="1">
        <v>29027</v>
      </c>
      <c r="D74" t="s">
        <v>10</v>
      </c>
      <c r="E74">
        <v>9492995562</v>
      </c>
      <c r="F74" t="s">
        <v>349</v>
      </c>
      <c r="G74" s="2" t="s">
        <v>350</v>
      </c>
      <c r="H74">
        <v>1080996930</v>
      </c>
      <c r="I74" t="s">
        <v>351</v>
      </c>
      <c r="J74">
        <f ca="1">DATEDIF(C78, TODAY(), "y")</f>
        <v>65</v>
      </c>
      <c r="K74" t="str">
        <f t="shared" ca="1" si="8"/>
        <v>&gt;60</v>
      </c>
      <c r="M74" t="str">
        <v>Indranil</v>
      </c>
      <c r="N74" t="str">
        <v>Loke</v>
      </c>
      <c r="P74" t="str">
        <v>Indranil</v>
      </c>
      <c r="Q74" t="str">
        <v>Loke</v>
      </c>
      <c r="S74" t="str" cm="1">
        <f t="array" ref="S74">_xlfn.IFS(OR(D73="M", D73="Male"), "Male", OR(D73="F", D73="Female"), "Female", TRUE, "Other")</f>
        <v>Female</v>
      </c>
      <c r="U74" t="str">
        <f t="shared" si="9"/>
        <v>indranil Loke</v>
      </c>
      <c r="W74" t="str">
        <f t="shared" si="10"/>
        <v>indranil Loke</v>
      </c>
      <c r="Y74">
        <f t="shared" ca="1" si="11"/>
        <v>62</v>
      </c>
      <c r="AA74" s="5" t="str">
        <f t="shared" ca="1" si="12"/>
        <v>Yes</v>
      </c>
      <c r="AC74" s="5" t="str">
        <f t="shared" si="13"/>
        <v>312908</v>
      </c>
      <c r="AE74" t="s">
        <v>28</v>
      </c>
      <c r="AG74">
        <v>62</v>
      </c>
      <c r="AI74" t="str">
        <f>REPLACE(F73, 1, SEARCH("@", F73), "")</f>
        <v>hegde.com</v>
      </c>
      <c r="AK74">
        <v>55</v>
      </c>
      <c r="AM74" t="s">
        <v>28</v>
      </c>
    </row>
    <row r="75" spans="1:39" ht="43.2" hidden="1">
      <c r="A75" t="s">
        <v>3484</v>
      </c>
      <c r="B75" t="s">
        <v>352</v>
      </c>
      <c r="C75" s="1">
        <v>37018</v>
      </c>
      <c r="D75" t="s">
        <v>10</v>
      </c>
      <c r="E75">
        <v>4278816580</v>
      </c>
      <c r="F75" t="s">
        <v>353</v>
      </c>
      <c r="G75" s="2" t="s">
        <v>354</v>
      </c>
      <c r="H75">
        <v>7700518449</v>
      </c>
      <c r="I75" t="s">
        <v>355</v>
      </c>
      <c r="J75">
        <v>46</v>
      </c>
      <c r="K75" t="str">
        <f t="shared" ca="1" si="8"/>
        <v>30-60</v>
      </c>
      <c r="M75" t="str">
        <v>Samar</v>
      </c>
      <c r="N75" t="str">
        <v>Kibe</v>
      </c>
      <c r="P75" t="str">
        <v>Samar</v>
      </c>
      <c r="Q75" t="str">
        <v>Kibe</v>
      </c>
      <c r="S75" t="str" cm="1">
        <f t="array" ref="S75">_xlfn.IFS(OR(D74="M", D74="Male"), "Male", OR(D74="F", D74="Female"), "Female", TRUE, "Other")</f>
        <v>Other</v>
      </c>
      <c r="U75" t="str">
        <f t="shared" si="9"/>
        <v>samar Kibe</v>
      </c>
      <c r="W75" t="str">
        <f t="shared" si="10"/>
        <v>samar Kibe</v>
      </c>
      <c r="Y75">
        <f t="shared" ca="1" si="11"/>
        <v>46</v>
      </c>
      <c r="AA75" s="5" t="str">
        <f t="shared" ca="1" si="12"/>
        <v>No</v>
      </c>
      <c r="AC75" s="5" t="str">
        <f t="shared" si="13"/>
        <v>428341</v>
      </c>
      <c r="AE75" t="s">
        <v>10</v>
      </c>
      <c r="AG75">
        <v>46</v>
      </c>
      <c r="AI75" t="str">
        <f>REPLACE(F74, 1, SEARCH("@", F74), "")</f>
        <v>trivedi-gole.com</v>
      </c>
      <c r="AK75">
        <v>55</v>
      </c>
      <c r="AM75" t="s">
        <v>10</v>
      </c>
    </row>
    <row r="76" spans="1:39" hidden="1">
      <c r="A76" t="s">
        <v>3485</v>
      </c>
      <c r="B76" t="s">
        <v>360</v>
      </c>
      <c r="C76" s="1">
        <v>31835</v>
      </c>
      <c r="D76" t="s">
        <v>15</v>
      </c>
      <c r="E76">
        <v>413797723</v>
      </c>
      <c r="F76" t="s">
        <v>361</v>
      </c>
      <c r="G76" t="s">
        <v>362</v>
      </c>
      <c r="H76">
        <v>9127990881</v>
      </c>
      <c r="I76" t="s">
        <v>363</v>
      </c>
      <c r="J76">
        <v>24</v>
      </c>
      <c r="K76" t="str">
        <f t="shared" ca="1" si="8"/>
        <v>&lt;30</v>
      </c>
      <c r="M76" t="str">
        <v>Vihaan</v>
      </c>
      <c r="N76" t="str">
        <v>Choudhury</v>
      </c>
      <c r="P76" t="str">
        <v>Vihaan</v>
      </c>
      <c r="Q76" t="str">
        <v>Choudhury</v>
      </c>
      <c r="S76" t="str" cm="1">
        <f t="array" ref="S76">_xlfn.IFS(OR(D75="M", D75="Male"), "Male", OR(D75="F", D75="Female"), "Female", TRUE, "Other")</f>
        <v>Other</v>
      </c>
      <c r="U76" t="str">
        <f t="shared" si="9"/>
        <v>vihaan Choudhury</v>
      </c>
      <c r="W76" t="str">
        <f t="shared" si="10"/>
        <v>vihaan Choudhury</v>
      </c>
      <c r="Y76">
        <f t="shared" ca="1" si="11"/>
        <v>24</v>
      </c>
      <c r="AA76" s="5" t="str">
        <f t="shared" ca="1" si="12"/>
        <v>No</v>
      </c>
      <c r="AC76" s="5" t="str">
        <f t="shared" si="13"/>
        <v>303856</v>
      </c>
      <c r="AE76" t="s">
        <v>10</v>
      </c>
      <c r="AG76">
        <v>24</v>
      </c>
      <c r="AI76" t="str">
        <f>REPLACE(F75, 1, SEARCH("@", F75), "")</f>
        <v>kapoor.com</v>
      </c>
      <c r="AK76">
        <v>55</v>
      </c>
      <c r="AM76" t="s">
        <v>10</v>
      </c>
    </row>
    <row r="77" spans="1:39" ht="43.2" hidden="1">
      <c r="A77" t="s">
        <v>3486</v>
      </c>
      <c r="B77" t="s">
        <v>364</v>
      </c>
      <c r="C77" s="1">
        <v>28283</v>
      </c>
      <c r="D77" t="s">
        <v>10</v>
      </c>
      <c r="E77">
        <v>863765991</v>
      </c>
      <c r="F77" t="s">
        <v>365</v>
      </c>
      <c r="G77" s="2" t="s">
        <v>366</v>
      </c>
      <c r="H77">
        <v>5126944869</v>
      </c>
      <c r="I77" t="s">
        <v>367</v>
      </c>
      <c r="J77">
        <v>39</v>
      </c>
      <c r="K77" t="str">
        <f t="shared" ca="1" si="8"/>
        <v>30-60</v>
      </c>
      <c r="M77" t="str">
        <v>Yuvaan</v>
      </c>
      <c r="N77" t="str">
        <v>Ram</v>
      </c>
      <c r="P77" t="str">
        <v>Yuvaan</v>
      </c>
      <c r="Q77" t="str">
        <v>Ram</v>
      </c>
      <c r="S77" t="str" cm="1">
        <f t="array" ref="S77">_xlfn.IFS(OR(D76="M", D76="Male"), "Male", OR(D76="F", D76="Female"), "Female", TRUE, "Other")</f>
        <v>Male</v>
      </c>
      <c r="U77" t="str">
        <f t="shared" si="9"/>
        <v>yuvaan Ram</v>
      </c>
      <c r="W77" t="str">
        <f t="shared" si="10"/>
        <v>yuvaan Ram</v>
      </c>
      <c r="Y77">
        <f t="shared" ca="1" si="11"/>
        <v>39</v>
      </c>
      <c r="AA77" s="5" t="str">
        <f t="shared" ca="1" si="12"/>
        <v>No</v>
      </c>
      <c r="AC77" s="5" t="str">
        <f t="shared" si="13"/>
        <v>038862</v>
      </c>
      <c r="AE77" t="s">
        <v>15</v>
      </c>
      <c r="AG77">
        <v>39</v>
      </c>
      <c r="AI77" t="str">
        <f>REPLACE(F76, 1, SEARCH("@", F76), "")</f>
        <v>gmail.com</v>
      </c>
      <c r="AK77">
        <v>54</v>
      </c>
      <c r="AM77" t="s">
        <v>15</v>
      </c>
    </row>
    <row r="78" spans="1:39" ht="28.8" hidden="1">
      <c r="A78" t="s">
        <v>3487</v>
      </c>
      <c r="B78" t="s">
        <v>368</v>
      </c>
      <c r="C78" s="1">
        <v>22269</v>
      </c>
      <c r="D78" t="s">
        <v>10</v>
      </c>
      <c r="E78">
        <v>8874495621</v>
      </c>
      <c r="F78" t="s">
        <v>369</v>
      </c>
      <c r="G78" s="2" t="s">
        <v>370</v>
      </c>
      <c r="H78">
        <v>5190669849</v>
      </c>
      <c r="I78" t="s">
        <v>371</v>
      </c>
      <c r="J78">
        <v>48</v>
      </c>
      <c r="K78" t="str">
        <f t="shared" ca="1" si="8"/>
        <v>30-60</v>
      </c>
      <c r="M78" t="str">
        <v>Adah</v>
      </c>
      <c r="N78" t="str">
        <v>Lal</v>
      </c>
      <c r="P78" t="str">
        <v>Adah</v>
      </c>
      <c r="Q78" t="str">
        <v>Lal</v>
      </c>
      <c r="S78" t="str" cm="1">
        <f t="array" ref="S78">_xlfn.IFS(OR(D77="M", D77="Male"), "Male", OR(D77="F", D77="Female"), "Female", TRUE, "Other")</f>
        <v>Other</v>
      </c>
      <c r="U78" t="str">
        <f t="shared" si="9"/>
        <v>adah Lal</v>
      </c>
      <c r="W78" t="str">
        <f t="shared" si="10"/>
        <v>adah Lal</v>
      </c>
      <c r="Y78">
        <f t="shared" ca="1" si="11"/>
        <v>48</v>
      </c>
      <c r="AA78" s="5" t="str">
        <f t="shared" ca="1" si="12"/>
        <v>No</v>
      </c>
      <c r="AC78" s="5" t="str">
        <f t="shared" si="13"/>
        <v>806356</v>
      </c>
      <c r="AE78" t="s">
        <v>10</v>
      </c>
      <c r="AG78">
        <v>48</v>
      </c>
      <c r="AI78" t="str">
        <f>REPLACE(F77, 1, SEARCH("@", F77), "")</f>
        <v>gmail.com</v>
      </c>
      <c r="AK78">
        <v>54</v>
      </c>
      <c r="AM78" t="s">
        <v>10</v>
      </c>
    </row>
    <row r="79" spans="1:39" ht="28.8" hidden="1">
      <c r="A79" t="s">
        <v>3488</v>
      </c>
      <c r="B79" t="s">
        <v>372</v>
      </c>
      <c r="C79" s="1">
        <v>18662</v>
      </c>
      <c r="D79" t="s">
        <v>15</v>
      </c>
      <c r="E79">
        <v>8839205302</v>
      </c>
      <c r="F79" t="s">
        <v>373</v>
      </c>
      <c r="G79" s="2" t="s">
        <v>374</v>
      </c>
      <c r="H79">
        <v>4268181845</v>
      </c>
      <c r="I79" t="s">
        <v>375</v>
      </c>
      <c r="J79">
        <v>65</v>
      </c>
      <c r="K79" t="str">
        <f t="shared" ca="1" si="8"/>
        <v>&gt;60</v>
      </c>
      <c r="M79" t="str">
        <v>Ivana</v>
      </c>
      <c r="N79" t="str">
        <v>Khurana</v>
      </c>
      <c r="P79" t="str">
        <v>Ivana</v>
      </c>
      <c r="Q79" t="str">
        <v>Khurana</v>
      </c>
      <c r="S79" t="str" cm="1">
        <f t="array" ref="S79">_xlfn.IFS(OR(D78="M", D78="Male"), "Male", OR(D78="F", D78="Female"), "Female", TRUE, "Other")</f>
        <v>Other</v>
      </c>
      <c r="U79" t="str">
        <f t="shared" si="9"/>
        <v>ivana Khurana</v>
      </c>
      <c r="W79" t="str">
        <f t="shared" si="10"/>
        <v>ivana Khurana</v>
      </c>
      <c r="Y79">
        <f t="shared" ca="1" si="11"/>
        <v>65</v>
      </c>
      <c r="AA79" s="5" t="str">
        <f t="shared" ca="1" si="12"/>
        <v>Yes</v>
      </c>
      <c r="AC79" s="5" t="str">
        <f t="shared" si="13"/>
        <v>961143</v>
      </c>
      <c r="AE79" t="s">
        <v>10</v>
      </c>
      <c r="AG79">
        <v>65</v>
      </c>
      <c r="AI79" t="str">
        <f>REPLACE(F78, 1, SEARCH("@", F78), "")</f>
        <v>bedi.net</v>
      </c>
      <c r="AK79">
        <v>54</v>
      </c>
      <c r="AM79" t="s">
        <v>10</v>
      </c>
    </row>
    <row r="80" spans="1:39" ht="43.2" hidden="1">
      <c r="A80" t="s">
        <v>3489</v>
      </c>
      <c r="B80" t="s">
        <v>376</v>
      </c>
      <c r="C80" s="1">
        <v>29847</v>
      </c>
      <c r="D80" t="s">
        <v>10</v>
      </c>
      <c r="E80">
        <v>915779071416</v>
      </c>
      <c r="F80" t="s">
        <v>377</v>
      </c>
      <c r="G80" s="2" t="s">
        <v>378</v>
      </c>
      <c r="H80">
        <v>7333433339</v>
      </c>
      <c r="I80" t="s">
        <v>379</v>
      </c>
      <c r="J80">
        <v>75</v>
      </c>
      <c r="K80" t="str">
        <f t="shared" ca="1" si="8"/>
        <v>&gt;60</v>
      </c>
      <c r="M80" t="str">
        <v>Reyansh</v>
      </c>
      <c r="N80" t="str">
        <v>Chatterjee</v>
      </c>
      <c r="P80" t="str">
        <v>Reyansh</v>
      </c>
      <c r="Q80" t="str">
        <v>Chatterjee</v>
      </c>
      <c r="S80" t="str" cm="1">
        <f t="array" ref="S80">_xlfn.IFS(OR(D79="M", D79="Male"), "Male", OR(D79="F", D79="Female"), "Female", TRUE, "Other")</f>
        <v>Male</v>
      </c>
      <c r="U80" t="str">
        <f t="shared" si="9"/>
        <v>reyansh Chatterjee</v>
      </c>
      <c r="W80" t="str">
        <f t="shared" si="10"/>
        <v>reyansh Chatterjee</v>
      </c>
      <c r="Y80">
        <f t="shared" ca="1" si="11"/>
        <v>75</v>
      </c>
      <c r="AA80" s="5" t="str">
        <f t="shared" ca="1" si="12"/>
        <v>Yes</v>
      </c>
      <c r="AC80" s="5" t="str">
        <f t="shared" si="13"/>
        <v>937690</v>
      </c>
      <c r="AE80" t="s">
        <v>15</v>
      </c>
      <c r="AG80">
        <v>75</v>
      </c>
      <c r="AI80" t="str">
        <f>REPLACE(F79, 1, SEARCH("@", F79), "")</f>
        <v>hora.com</v>
      </c>
      <c r="AK80">
        <v>54</v>
      </c>
      <c r="AM80" t="s">
        <v>15</v>
      </c>
    </row>
    <row r="81" spans="1:39" ht="28.8" hidden="1">
      <c r="A81" t="s">
        <v>3490</v>
      </c>
      <c r="B81" t="s">
        <v>384</v>
      </c>
      <c r="C81" s="1">
        <v>28243</v>
      </c>
      <c r="D81" t="s">
        <v>15</v>
      </c>
      <c r="E81">
        <v>5564729293</v>
      </c>
      <c r="F81" t="s">
        <v>385</v>
      </c>
      <c r="G81" s="2" t="s">
        <v>386</v>
      </c>
      <c r="H81">
        <v>6120347175</v>
      </c>
      <c r="I81" t="s">
        <v>387</v>
      </c>
      <c r="J81">
        <v>44</v>
      </c>
      <c r="K81" t="str">
        <f t="shared" ca="1" si="8"/>
        <v>30-60</v>
      </c>
      <c r="M81" t="str">
        <v>Uthkarsh</v>
      </c>
      <c r="N81" t="str">
        <v>Manda</v>
      </c>
      <c r="P81" t="str">
        <v>Uthkarsh</v>
      </c>
      <c r="Q81" t="str">
        <v>Manda</v>
      </c>
      <c r="S81" t="str" cm="1">
        <f t="array" ref="S81">_xlfn.IFS(OR(D80="M", D80="Male"), "Male", OR(D80="F", D80="Female"), "Female", TRUE, "Other")</f>
        <v>Other</v>
      </c>
      <c r="U81" t="str">
        <f t="shared" si="9"/>
        <v>uthkarsh Manda</v>
      </c>
      <c r="W81" t="str">
        <f t="shared" si="10"/>
        <v>uthkarsh Manda</v>
      </c>
      <c r="Y81">
        <f t="shared" ca="1" si="11"/>
        <v>44</v>
      </c>
      <c r="AA81" s="5" t="str">
        <f t="shared" ca="1" si="12"/>
        <v>No</v>
      </c>
      <c r="AC81" s="5" t="str">
        <f t="shared" si="13"/>
        <v>539423</v>
      </c>
      <c r="AE81" t="s">
        <v>10</v>
      </c>
      <c r="AG81">
        <v>44</v>
      </c>
      <c r="AI81" t="str">
        <f>REPLACE(F80, 1, SEARCH("@", F80), "")</f>
        <v>goda-kuruvilla.net</v>
      </c>
      <c r="AK81">
        <v>54</v>
      </c>
      <c r="AM81" t="s">
        <v>10</v>
      </c>
    </row>
    <row r="82" spans="1:39" ht="43.2" hidden="1">
      <c r="A82" t="s">
        <v>3491</v>
      </c>
      <c r="B82" t="s">
        <v>384</v>
      </c>
      <c r="C82" s="1">
        <v>21975</v>
      </c>
      <c r="D82" t="s">
        <v>28</v>
      </c>
      <c r="E82">
        <v>1117800681</v>
      </c>
      <c r="F82" t="s">
        <v>392</v>
      </c>
      <c r="G82" s="2" t="s">
        <v>393</v>
      </c>
      <c r="H82">
        <v>8728299796</v>
      </c>
      <c r="I82" t="s">
        <v>394</v>
      </c>
      <c r="J82">
        <v>48</v>
      </c>
      <c r="K82" t="str">
        <f t="shared" ca="1" si="8"/>
        <v>30-60</v>
      </c>
      <c r="M82" t="str">
        <v>Aarna</v>
      </c>
      <c r="N82" t="str">
        <v>Cheema</v>
      </c>
      <c r="P82" t="str">
        <v>Aarna</v>
      </c>
      <c r="Q82" t="str">
        <v>Cheema</v>
      </c>
      <c r="S82" t="str" cm="1">
        <f t="array" ref="S82">_xlfn.IFS(OR(D81="M", D81="Male"), "Male", OR(D81="F", D81="Female"), "Female", TRUE, "Other")</f>
        <v>Male</v>
      </c>
      <c r="U82" t="str">
        <f t="shared" si="9"/>
        <v>aarna Cheema</v>
      </c>
      <c r="W82" t="str">
        <f t="shared" si="10"/>
        <v>aarna Cheema</v>
      </c>
      <c r="Y82">
        <f t="shared" ca="1" si="11"/>
        <v>48</v>
      </c>
      <c r="AA82" s="5" t="str">
        <f t="shared" ca="1" si="12"/>
        <v>No</v>
      </c>
      <c r="AC82" s="5" t="str">
        <f t="shared" si="13"/>
        <v>744890</v>
      </c>
      <c r="AE82" t="s">
        <v>15</v>
      </c>
      <c r="AG82">
        <v>48</v>
      </c>
      <c r="AI82" t="str">
        <f>REPLACE(F81, 1, SEARCH("@", F81), "")</f>
        <v>varty-halder.com</v>
      </c>
      <c r="AK82">
        <v>53</v>
      </c>
      <c r="AM82" t="s">
        <v>15</v>
      </c>
    </row>
    <row r="83" spans="1:39">
      <c r="A83" t="s">
        <v>3492</v>
      </c>
      <c r="B83" t="s">
        <v>76</v>
      </c>
      <c r="C83" s="1">
        <v>26918</v>
      </c>
      <c r="D83" t="s">
        <v>28</v>
      </c>
      <c r="E83">
        <v>4240082547</v>
      </c>
      <c r="F83" t="s">
        <v>395</v>
      </c>
      <c r="G83" t="s">
        <v>396</v>
      </c>
      <c r="H83">
        <v>6389448463</v>
      </c>
      <c r="I83" t="s">
        <v>397</v>
      </c>
      <c r="J83">
        <f t="shared" ref="J83:J85" ca="1" si="14">DATEDIF(C87, TODAY(), "y")</f>
        <v>32</v>
      </c>
      <c r="K83" t="str">
        <f t="shared" ca="1" si="8"/>
        <v>&gt;60</v>
      </c>
      <c r="M83" t="str">
        <v>Dhanush</v>
      </c>
      <c r="N83" t="str">
        <v>Cheema</v>
      </c>
      <c r="P83" t="str">
        <v>Dhanush</v>
      </c>
      <c r="Q83" t="str">
        <v>Cheema</v>
      </c>
      <c r="S83" t="str" cm="1">
        <f t="array" ref="S83">_xlfn.IFS(OR(D82="M", D82="Male"), "Male", OR(D82="F", D82="Female"), "Female", TRUE, "Other")</f>
        <v>Female</v>
      </c>
      <c r="U83" t="str">
        <f t="shared" si="9"/>
        <v>dhanush Cheema</v>
      </c>
      <c r="W83" t="str">
        <f t="shared" si="10"/>
        <v>dhanush Cheema</v>
      </c>
      <c r="Y83">
        <f t="shared" ca="1" si="11"/>
        <v>66</v>
      </c>
      <c r="AA83" s="5" t="str">
        <f t="shared" ca="1" si="12"/>
        <v>Yes</v>
      </c>
      <c r="AC83" s="5" t="str">
        <f t="shared" si="13"/>
        <v>557784</v>
      </c>
      <c r="AE83" t="s">
        <v>28</v>
      </c>
      <c r="AG83">
        <v>66</v>
      </c>
      <c r="AI83" t="str">
        <f>REPLACE(F82, 1, SEARCH("@", F82), "")</f>
        <v>wali.com</v>
      </c>
      <c r="AK83">
        <v>53</v>
      </c>
      <c r="AM83" t="s">
        <v>28</v>
      </c>
    </row>
    <row r="84" spans="1:39" ht="28.8">
      <c r="A84" t="s">
        <v>3493</v>
      </c>
      <c r="B84" t="s">
        <v>398</v>
      </c>
      <c r="C84" s="1">
        <v>33305</v>
      </c>
      <c r="D84" t="s">
        <v>28</v>
      </c>
      <c r="E84">
        <v>3502080214</v>
      </c>
      <c r="F84" t="s">
        <v>399</v>
      </c>
      <c r="G84" s="2" t="s">
        <v>400</v>
      </c>
      <c r="H84">
        <v>461872346</v>
      </c>
      <c r="I84" t="s">
        <v>401</v>
      </c>
      <c r="J84">
        <f t="shared" ca="1" si="14"/>
        <v>58</v>
      </c>
      <c r="K84" t="str">
        <f t="shared" ca="1" si="8"/>
        <v>30-60</v>
      </c>
      <c r="M84" t="str">
        <v xml:space="preserve">Ahana </v>
      </c>
      <c r="N84" t="str">
        <v>Dube</v>
      </c>
      <c r="P84" t="str">
        <v>Ahana</v>
      </c>
      <c r="Q84" t="str">
        <v>Dube</v>
      </c>
      <c r="S84" t="str" cm="1">
        <f t="array" ref="S84">_xlfn.IFS(OR(D83="M", D83="Male"), "Male", OR(D83="F", D83="Female"), "Female", TRUE, "Other")</f>
        <v>Female</v>
      </c>
      <c r="U84" t="str">
        <f t="shared" si="9"/>
        <v>ahana  Dube</v>
      </c>
      <c r="W84" t="str">
        <f t="shared" si="10"/>
        <v>ahana  Dube</v>
      </c>
      <c r="Y84">
        <f t="shared" ca="1" si="11"/>
        <v>52</v>
      </c>
      <c r="AA84" s="5" t="str">
        <f t="shared" ca="1" si="12"/>
        <v>No</v>
      </c>
      <c r="AC84" s="5" t="str">
        <f t="shared" si="13"/>
        <v>266341</v>
      </c>
      <c r="AE84" t="s">
        <v>28</v>
      </c>
      <c r="AG84">
        <v>52</v>
      </c>
      <c r="AI84" t="str">
        <f>REPLACE(F83, 1, SEARCH("@", F83), "")</f>
        <v>agrawal-sinha.biz</v>
      </c>
      <c r="AK84">
        <v>53</v>
      </c>
      <c r="AM84" t="s">
        <v>28</v>
      </c>
    </row>
    <row r="85" spans="1:39" ht="28.8">
      <c r="A85" t="s">
        <v>3494</v>
      </c>
      <c r="B85" t="s">
        <v>402</v>
      </c>
      <c r="C85" s="1">
        <v>36103</v>
      </c>
      <c r="D85" t="s">
        <v>10</v>
      </c>
      <c r="E85">
        <v>918376452088</v>
      </c>
      <c r="F85" t="s">
        <v>403</v>
      </c>
      <c r="G85" s="2" t="s">
        <v>404</v>
      </c>
      <c r="H85">
        <v>1327195005</v>
      </c>
      <c r="I85" t="s">
        <v>405</v>
      </c>
      <c r="J85">
        <f t="shared" ca="1" si="14"/>
        <v>74</v>
      </c>
      <c r="K85" t="str">
        <f t="shared" ca="1" si="8"/>
        <v>30-60</v>
      </c>
      <c r="M85" t="str">
        <v>Purab</v>
      </c>
      <c r="N85" t="str">
        <v>Sarma</v>
      </c>
      <c r="P85" t="str">
        <v>Purab</v>
      </c>
      <c r="Q85" t="str">
        <v>Sarma</v>
      </c>
      <c r="S85" t="str" cm="1">
        <f t="array" ref="S85">_xlfn.IFS(OR(D84="M", D84="Male"), "Male", OR(D84="F", D84="Female"), "Female", TRUE, "Other")</f>
        <v>Female</v>
      </c>
      <c r="U85" t="str">
        <f t="shared" si="9"/>
        <v>purab Sarma</v>
      </c>
      <c r="W85" t="str">
        <f t="shared" si="10"/>
        <v>purab Sarma</v>
      </c>
      <c r="Y85">
        <f t="shared" ca="1" si="11"/>
        <v>35</v>
      </c>
      <c r="AA85" s="5" t="str">
        <f t="shared" ca="1" si="12"/>
        <v>No</v>
      </c>
      <c r="AC85" s="5" t="str">
        <f t="shared" si="13"/>
        <v>570512</v>
      </c>
      <c r="AE85" t="s">
        <v>28</v>
      </c>
      <c r="AG85">
        <v>35</v>
      </c>
      <c r="AI85" t="str">
        <f>REPLACE(F84, 1, SEARCH("@", F84), "")</f>
        <v>hotmail.com</v>
      </c>
      <c r="AK85">
        <v>53</v>
      </c>
      <c r="AM85" t="s">
        <v>28</v>
      </c>
    </row>
    <row r="86" spans="1:39" ht="28.8" hidden="1">
      <c r="A86" t="s">
        <v>3495</v>
      </c>
      <c r="B86" t="s">
        <v>410</v>
      </c>
      <c r="C86" s="1">
        <v>33756</v>
      </c>
      <c r="D86" t="s">
        <v>10</v>
      </c>
      <c r="E86">
        <v>1181022031</v>
      </c>
      <c r="F86" t="s">
        <v>411</v>
      </c>
      <c r="G86" s="2" t="s">
        <v>412</v>
      </c>
      <c r="H86">
        <v>6509480141</v>
      </c>
      <c r="I86" t="s">
        <v>413</v>
      </c>
      <c r="J86">
        <v>27</v>
      </c>
      <c r="K86" t="str">
        <f t="shared" ca="1" si="8"/>
        <v>&lt;30</v>
      </c>
      <c r="M86" t="str">
        <v>Kiaan</v>
      </c>
      <c r="N86" t="str">
        <v>Karpe</v>
      </c>
      <c r="P86" t="str">
        <v>Kiaan</v>
      </c>
      <c r="Q86" t="str">
        <v>Karpe</v>
      </c>
      <c r="S86" t="str" cm="1">
        <f t="array" ref="S86">_xlfn.IFS(OR(D85="M", D85="Male"), "Male", OR(D85="F", D85="Female"), "Female", TRUE, "Other")</f>
        <v>Other</v>
      </c>
      <c r="U86" t="str">
        <f t="shared" si="9"/>
        <v>kiaan Karpe</v>
      </c>
      <c r="W86" t="str">
        <f t="shared" si="10"/>
        <v>kiaan Karpe</v>
      </c>
      <c r="Y86">
        <f t="shared" ca="1" si="11"/>
        <v>27</v>
      </c>
      <c r="AA86" s="5" t="str">
        <f t="shared" ca="1" si="12"/>
        <v>No</v>
      </c>
      <c r="AC86" s="5" t="str">
        <f t="shared" si="13"/>
        <v>097925</v>
      </c>
      <c r="AE86" t="s">
        <v>10</v>
      </c>
      <c r="AG86">
        <v>27</v>
      </c>
      <c r="AI86" t="str">
        <f>REPLACE(F85, 1, SEARCH("@", F85), "")</f>
        <v>wali-bal.com</v>
      </c>
      <c r="AK86">
        <v>53</v>
      </c>
      <c r="AM86" t="s">
        <v>10</v>
      </c>
    </row>
    <row r="87" spans="1:39" ht="28.8" hidden="1">
      <c r="A87" t="s">
        <v>3496</v>
      </c>
      <c r="B87" t="s">
        <v>414</v>
      </c>
      <c r="C87" s="1">
        <v>34153</v>
      </c>
      <c r="D87" t="s">
        <v>15</v>
      </c>
      <c r="E87">
        <v>919288619576</v>
      </c>
      <c r="F87" t="s">
        <v>415</v>
      </c>
      <c r="G87" s="2" t="s">
        <v>416</v>
      </c>
      <c r="H87">
        <v>5776004908</v>
      </c>
      <c r="I87" t="s">
        <v>417</v>
      </c>
      <c r="J87">
        <v>33</v>
      </c>
      <c r="K87" t="str">
        <f t="shared" ca="1" si="8"/>
        <v>30-60</v>
      </c>
      <c r="M87" t="str">
        <v>Samarth</v>
      </c>
      <c r="N87" t="str">
        <v>Jayaraman</v>
      </c>
      <c r="P87" t="str">
        <v>Samarth</v>
      </c>
      <c r="Q87" t="str">
        <v>Jayaraman</v>
      </c>
      <c r="S87" t="str" cm="1">
        <f t="array" ref="S87">_xlfn.IFS(OR(D86="M", D86="Male"), "Male", OR(D86="F", D86="Female"), "Female", TRUE, "Other")</f>
        <v>Other</v>
      </c>
      <c r="U87" t="str">
        <f t="shared" si="9"/>
        <v>samarth Jayaraman</v>
      </c>
      <c r="W87" t="str">
        <f t="shared" si="10"/>
        <v>samarth Jayaraman</v>
      </c>
      <c r="Y87">
        <f t="shared" ca="1" si="11"/>
        <v>33</v>
      </c>
      <c r="AA87" s="5" t="str">
        <f t="shared" ca="1" si="12"/>
        <v>No</v>
      </c>
      <c r="AC87" s="5" t="str">
        <f t="shared" si="13"/>
        <v>717058</v>
      </c>
      <c r="AE87" t="s">
        <v>10</v>
      </c>
      <c r="AG87">
        <v>33</v>
      </c>
      <c r="AI87" t="str">
        <f>REPLACE(F86, 1, SEARCH("@", F86), "")</f>
        <v>hotmail.com</v>
      </c>
      <c r="AK87">
        <v>53</v>
      </c>
      <c r="AM87" t="s">
        <v>10</v>
      </c>
    </row>
    <row r="88" spans="1:39" hidden="1">
      <c r="A88" t="s">
        <v>3497</v>
      </c>
      <c r="B88" t="s">
        <v>418</v>
      </c>
      <c r="C88" s="1">
        <v>24685</v>
      </c>
      <c r="D88" t="s">
        <v>10</v>
      </c>
      <c r="E88">
        <v>8899210752</v>
      </c>
      <c r="F88" t="s">
        <v>419</v>
      </c>
      <c r="G88" t="s">
        <v>420</v>
      </c>
      <c r="H88">
        <v>5661390604</v>
      </c>
      <c r="I88" t="s">
        <v>421</v>
      </c>
      <c r="J88">
        <v>32</v>
      </c>
      <c r="K88" t="str">
        <f t="shared" ca="1" si="8"/>
        <v>30-60</v>
      </c>
      <c r="M88" t="str">
        <v>Kartik</v>
      </c>
      <c r="N88" t="str">
        <v>Lall</v>
      </c>
      <c r="P88" t="str">
        <v>Kartik</v>
      </c>
      <c r="Q88" t="str">
        <v>Lall</v>
      </c>
      <c r="S88" t="str" cm="1">
        <f t="array" ref="S88">_xlfn.IFS(OR(D87="M", D87="Male"), "Male", OR(D87="F", D87="Female"), "Female", TRUE, "Other")</f>
        <v>Male</v>
      </c>
      <c r="U88" t="str">
        <f t="shared" si="9"/>
        <v>kartik Lall</v>
      </c>
      <c r="W88" t="str">
        <f t="shared" si="10"/>
        <v>kartik Lall</v>
      </c>
      <c r="Y88">
        <f t="shared" ca="1" si="11"/>
        <v>32</v>
      </c>
      <c r="AA88" s="5" t="str">
        <f t="shared" ca="1" si="12"/>
        <v>No</v>
      </c>
      <c r="AC88" s="5" t="str">
        <f t="shared" si="13"/>
        <v>983684</v>
      </c>
      <c r="AE88" t="s">
        <v>15</v>
      </c>
      <c r="AG88">
        <v>32</v>
      </c>
      <c r="AI88" t="str">
        <f>REPLACE(F87, 1, SEARCH("@", F87), "")</f>
        <v>iyer.com</v>
      </c>
      <c r="AK88">
        <v>52</v>
      </c>
      <c r="AM88" t="s">
        <v>15</v>
      </c>
    </row>
    <row r="89" spans="1:39" ht="28.8" hidden="1">
      <c r="A89" t="s">
        <v>3498</v>
      </c>
      <c r="B89" t="s">
        <v>422</v>
      </c>
      <c r="C89" s="1">
        <v>19082</v>
      </c>
      <c r="D89" t="s">
        <v>28</v>
      </c>
      <c r="E89">
        <v>6799813646</v>
      </c>
      <c r="F89" t="s">
        <v>423</v>
      </c>
      <c r="G89" s="2" t="s">
        <v>424</v>
      </c>
      <c r="H89">
        <v>8331465911</v>
      </c>
      <c r="I89" t="s">
        <v>425</v>
      </c>
      <c r="J89">
        <v>58</v>
      </c>
      <c r="K89" t="str">
        <f t="shared" ca="1" si="8"/>
        <v>30-60</v>
      </c>
      <c r="M89" t="str">
        <v>Prisha</v>
      </c>
      <c r="N89" t="str">
        <v>Tata</v>
      </c>
      <c r="P89" t="str">
        <v>Prisha</v>
      </c>
      <c r="Q89" t="str">
        <v>Tata</v>
      </c>
      <c r="S89" t="str" cm="1">
        <f t="array" ref="S89">_xlfn.IFS(OR(D88="M", D88="Male"), "Male", OR(D88="F", D88="Female"), "Female", TRUE, "Other")</f>
        <v>Other</v>
      </c>
      <c r="U89" t="str">
        <f t="shared" si="9"/>
        <v>prisha Tata</v>
      </c>
      <c r="W89" t="str">
        <f t="shared" si="10"/>
        <v>prisha Tata</v>
      </c>
      <c r="Y89">
        <f t="shared" ca="1" si="11"/>
        <v>58</v>
      </c>
      <c r="AA89" s="5" t="str">
        <f t="shared" ca="1" si="12"/>
        <v>No</v>
      </c>
      <c r="AC89" s="5" t="str">
        <f t="shared" si="13"/>
        <v>096105</v>
      </c>
      <c r="AE89" t="s">
        <v>10</v>
      </c>
      <c r="AG89">
        <v>58</v>
      </c>
      <c r="AI89" t="str">
        <f>REPLACE(F88, 1, SEARCH("@", F88), "")</f>
        <v>dave.com</v>
      </c>
      <c r="AK89">
        <v>52</v>
      </c>
      <c r="AM89" t="s">
        <v>10</v>
      </c>
    </row>
    <row r="90" spans="1:39">
      <c r="A90" t="s">
        <v>3499</v>
      </c>
      <c r="B90" t="s">
        <v>426</v>
      </c>
      <c r="C90" s="1">
        <v>25403</v>
      </c>
      <c r="D90" t="s">
        <v>15</v>
      </c>
      <c r="E90">
        <v>915979270335</v>
      </c>
      <c r="F90" t="s">
        <v>427</v>
      </c>
      <c r="G90" t="s">
        <v>428</v>
      </c>
      <c r="H90">
        <v>8792069804</v>
      </c>
      <c r="I90" t="s">
        <v>429</v>
      </c>
      <c r="J90">
        <f ca="1">DATEDIF(C94, TODAY(), "y")</f>
        <v>53</v>
      </c>
      <c r="K90" t="str">
        <f t="shared" ca="1" si="8"/>
        <v>&gt;60</v>
      </c>
      <c r="M90" t="str">
        <v>Madhup</v>
      </c>
      <c r="N90" t="str">
        <v>Bose</v>
      </c>
      <c r="P90" t="str">
        <v>Madhup</v>
      </c>
      <c r="Q90" t="str">
        <v>Bose</v>
      </c>
      <c r="S90" t="str" cm="1">
        <f t="array" ref="S90">_xlfn.IFS(OR(D89="M", D89="Male"), "Male", OR(D89="F", D89="Female"), "Female", TRUE, "Other")</f>
        <v>Female</v>
      </c>
      <c r="U90" t="str">
        <f t="shared" si="9"/>
        <v>madhup Bose</v>
      </c>
      <c r="W90" t="str">
        <f t="shared" si="10"/>
        <v>madhup Bose</v>
      </c>
      <c r="Y90">
        <f t="shared" ca="1" si="11"/>
        <v>74</v>
      </c>
      <c r="AA90" s="5" t="str">
        <f t="shared" ca="1" si="12"/>
        <v>Yes</v>
      </c>
      <c r="AC90" s="5" t="str">
        <f t="shared" si="13"/>
        <v>769389</v>
      </c>
      <c r="AE90" t="s">
        <v>28</v>
      </c>
      <c r="AG90">
        <v>74</v>
      </c>
      <c r="AI90" t="str">
        <f>REPLACE(F89, 1, SEARCH("@", F89), "")</f>
        <v>mangal-sharma.com</v>
      </c>
      <c r="AK90">
        <v>52</v>
      </c>
      <c r="AM90" t="s">
        <v>28</v>
      </c>
    </row>
    <row r="91" spans="1:39" hidden="1">
      <c r="A91" t="s">
        <v>3500</v>
      </c>
      <c r="B91" t="s">
        <v>430</v>
      </c>
      <c r="C91" s="1">
        <v>18034</v>
      </c>
      <c r="D91" t="s">
        <v>15</v>
      </c>
      <c r="E91">
        <v>916451046368</v>
      </c>
      <c r="F91" t="s">
        <v>431</v>
      </c>
      <c r="G91" t="s">
        <v>432</v>
      </c>
      <c r="H91">
        <v>4046084325</v>
      </c>
      <c r="I91" t="s">
        <v>433</v>
      </c>
      <c r="J91">
        <v>56</v>
      </c>
      <c r="K91" t="str">
        <f t="shared" ca="1" si="8"/>
        <v>30-60</v>
      </c>
      <c r="M91" t="str">
        <v>Anay</v>
      </c>
      <c r="N91" t="str">
        <v>Solanki</v>
      </c>
      <c r="P91" t="str">
        <v>Anay</v>
      </c>
      <c r="Q91" t="str">
        <v>Solanki</v>
      </c>
      <c r="S91" t="str" cm="1">
        <f t="array" ref="S91">_xlfn.IFS(OR(D90="M", D90="Male"), "Male", OR(D90="F", D90="Female"), "Female", TRUE, "Other")</f>
        <v>Male</v>
      </c>
      <c r="U91" t="str">
        <f t="shared" si="9"/>
        <v>anay Solanki</v>
      </c>
      <c r="W91" t="str">
        <f t="shared" si="10"/>
        <v>anay Solanki</v>
      </c>
      <c r="Y91">
        <f t="shared" ca="1" si="11"/>
        <v>56</v>
      </c>
      <c r="AA91" s="5" t="str">
        <f t="shared" ca="1" si="12"/>
        <v>No</v>
      </c>
      <c r="AC91" s="5" t="str">
        <f t="shared" si="13"/>
        <v>833884</v>
      </c>
      <c r="AE91" t="s">
        <v>15</v>
      </c>
      <c r="AG91">
        <v>56</v>
      </c>
      <c r="AI91" t="str">
        <f>REPLACE(F90, 1, SEARCH("@", F90), "")</f>
        <v>dara.com</v>
      </c>
      <c r="AK91">
        <v>52</v>
      </c>
      <c r="AM91" t="s">
        <v>15</v>
      </c>
    </row>
    <row r="92" spans="1:39" ht="28.8" hidden="1">
      <c r="A92" t="s">
        <v>3501</v>
      </c>
      <c r="B92" t="s">
        <v>319</v>
      </c>
      <c r="C92" s="1">
        <v>23801</v>
      </c>
      <c r="D92" t="s">
        <v>15</v>
      </c>
      <c r="E92">
        <v>2649578232</v>
      </c>
      <c r="F92" t="s">
        <v>434</v>
      </c>
      <c r="G92" s="2" t="s">
        <v>435</v>
      </c>
      <c r="H92">
        <v>7423122099</v>
      </c>
      <c r="I92" t="s">
        <v>436</v>
      </c>
      <c r="J92">
        <v>76</v>
      </c>
      <c r="K92" t="str">
        <f t="shared" ca="1" si="8"/>
        <v>&gt;60</v>
      </c>
      <c r="M92" t="str">
        <v>Anahita</v>
      </c>
      <c r="N92" t="str">
        <v>Sagar</v>
      </c>
      <c r="P92" t="str">
        <v>Anahita</v>
      </c>
      <c r="Q92" t="str">
        <v>Sagar</v>
      </c>
      <c r="S92" t="str" cm="1">
        <f t="array" ref="S92">_xlfn.IFS(OR(D91="M", D91="Male"), "Male", OR(D91="F", D91="Female"), "Female", TRUE, "Other")</f>
        <v>Male</v>
      </c>
      <c r="U92" t="str">
        <f t="shared" si="9"/>
        <v>anahita Sagar</v>
      </c>
      <c r="W92" t="str">
        <f t="shared" si="10"/>
        <v>anahita Sagar</v>
      </c>
      <c r="Y92">
        <f t="shared" ca="1" si="11"/>
        <v>76</v>
      </c>
      <c r="AA92" s="5" t="str">
        <f t="shared" ca="1" si="12"/>
        <v>Yes</v>
      </c>
      <c r="AC92" s="5" t="str">
        <f t="shared" si="13"/>
        <v>555438</v>
      </c>
      <c r="AE92" t="s">
        <v>15</v>
      </c>
      <c r="AG92">
        <v>76</v>
      </c>
      <c r="AI92" t="str">
        <f>REPLACE(F91, 1, SEARCH("@", F91), "")</f>
        <v>chander.net</v>
      </c>
      <c r="AK92">
        <v>51</v>
      </c>
      <c r="AM92" t="s">
        <v>15</v>
      </c>
    </row>
    <row r="93" spans="1:39" ht="28.8" hidden="1">
      <c r="A93" t="s">
        <v>3502</v>
      </c>
      <c r="B93" t="s">
        <v>356</v>
      </c>
      <c r="C93" s="1">
        <v>36845</v>
      </c>
      <c r="D93" t="s">
        <v>28</v>
      </c>
      <c r="E93">
        <v>347644726</v>
      </c>
      <c r="F93" t="s">
        <v>441</v>
      </c>
      <c r="G93" s="2" t="s">
        <v>442</v>
      </c>
      <c r="H93">
        <v>3714521117</v>
      </c>
      <c r="I93" t="s">
        <v>443</v>
      </c>
      <c r="J93">
        <v>61</v>
      </c>
      <c r="K93" t="str">
        <f t="shared" ca="1" si="8"/>
        <v>&gt;60</v>
      </c>
      <c r="M93" t="str">
        <v>Manikya</v>
      </c>
      <c r="N93" t="str">
        <v>Joshi</v>
      </c>
      <c r="P93" t="str">
        <v>Manikya</v>
      </c>
      <c r="Q93" t="str">
        <v>Joshi</v>
      </c>
      <c r="S93" t="str" cm="1">
        <f t="array" ref="S93">_xlfn.IFS(OR(D92="M", D92="Male"), "Male", OR(D92="F", D92="Female"), "Female", TRUE, "Other")</f>
        <v>Male</v>
      </c>
      <c r="U93" t="str">
        <f t="shared" si="9"/>
        <v>manikya Joshi</v>
      </c>
      <c r="W93" t="str">
        <f t="shared" si="10"/>
        <v>manikya Joshi</v>
      </c>
      <c r="Y93">
        <f t="shared" ca="1" si="11"/>
        <v>61</v>
      </c>
      <c r="AA93" s="5" t="str">
        <f t="shared" ca="1" si="12"/>
        <v>Yes</v>
      </c>
      <c r="AC93" s="5" t="str">
        <f t="shared" si="13"/>
        <v>205664</v>
      </c>
      <c r="AE93" t="s">
        <v>15</v>
      </c>
      <c r="AG93">
        <v>61</v>
      </c>
      <c r="AI93" t="str">
        <f>REPLACE(F92, 1, SEARCH("@", F92), "")</f>
        <v>yogi.biz</v>
      </c>
      <c r="AK93">
        <v>51</v>
      </c>
      <c r="AM93" t="s">
        <v>15</v>
      </c>
    </row>
    <row r="94" spans="1:39" ht="43.2">
      <c r="A94" t="s">
        <v>3503</v>
      </c>
      <c r="B94" t="s">
        <v>452</v>
      </c>
      <c r="C94" s="1">
        <v>26622</v>
      </c>
      <c r="D94" t="s">
        <v>15</v>
      </c>
      <c r="E94">
        <v>919978772934</v>
      </c>
      <c r="F94" t="s">
        <v>453</v>
      </c>
      <c r="G94" s="2" t="s">
        <v>454</v>
      </c>
      <c r="H94">
        <v>8501556990</v>
      </c>
      <c r="I94" t="s">
        <v>455</v>
      </c>
      <c r="J94">
        <f ca="1">DATEDIF(C98, TODAY(), "y")</f>
        <v>75</v>
      </c>
      <c r="K94" t="str">
        <f t="shared" ca="1" si="8"/>
        <v>&lt;30</v>
      </c>
      <c r="M94" t="str">
        <v>Vidur</v>
      </c>
      <c r="N94" t="str">
        <v>Kuruvilla</v>
      </c>
      <c r="P94" t="str">
        <v>Vidur</v>
      </c>
      <c r="Q94" t="str">
        <v>Kuruvilla</v>
      </c>
      <c r="S94" t="str" cm="1">
        <f t="array" ref="S94">_xlfn.IFS(OR(D93="M", D93="Male"), "Male", OR(D93="F", D93="Female"), "Female", TRUE, "Other")</f>
        <v>Female</v>
      </c>
      <c r="U94" t="str">
        <f t="shared" si="9"/>
        <v>vidur Kuruvilla</v>
      </c>
      <c r="W94" t="str">
        <f t="shared" si="10"/>
        <v>vidur Kuruvilla</v>
      </c>
      <c r="Y94">
        <f t="shared" ca="1" si="11"/>
        <v>25</v>
      </c>
      <c r="AA94" s="5" t="str">
        <f t="shared" ca="1" si="12"/>
        <v>No</v>
      </c>
      <c r="AC94" s="5" t="str">
        <f t="shared" si="13"/>
        <v>570279</v>
      </c>
      <c r="AE94" t="s">
        <v>28</v>
      </c>
      <c r="AG94">
        <v>25</v>
      </c>
      <c r="AI94" t="str">
        <f>REPLACE(F93, 1, SEARCH("@", F93), "")</f>
        <v>gmail.com</v>
      </c>
      <c r="AK94">
        <v>51</v>
      </c>
      <c r="AM94" t="s">
        <v>28</v>
      </c>
    </row>
    <row r="95" spans="1:39" hidden="1">
      <c r="A95" t="s">
        <v>3504</v>
      </c>
      <c r="B95" t="s">
        <v>187</v>
      </c>
      <c r="C95" s="1">
        <v>26534</v>
      </c>
      <c r="D95" t="s">
        <v>28</v>
      </c>
      <c r="E95">
        <v>5424932149</v>
      </c>
      <c r="F95" t="s">
        <v>464</v>
      </c>
      <c r="G95" t="s">
        <v>465</v>
      </c>
      <c r="H95">
        <v>1792171747</v>
      </c>
      <c r="I95" t="s">
        <v>466</v>
      </c>
      <c r="J95">
        <v>53</v>
      </c>
      <c r="K95" t="str">
        <f t="shared" ca="1" si="8"/>
        <v>30-60</v>
      </c>
      <c r="M95" t="str">
        <v>Kashvi</v>
      </c>
      <c r="N95" t="str">
        <v>Ratta</v>
      </c>
      <c r="P95" t="str">
        <v>Kashvi</v>
      </c>
      <c r="Q95" t="str">
        <v>Ratta</v>
      </c>
      <c r="S95" t="str" cm="1">
        <f t="array" ref="S95">_xlfn.IFS(OR(D94="M", D94="Male"), "Male", OR(D94="F", D94="Female"), "Female", TRUE, "Other")</f>
        <v>Male</v>
      </c>
      <c r="U95" t="str">
        <f t="shared" si="9"/>
        <v>kashvi Ratta</v>
      </c>
      <c r="W95" t="str">
        <f t="shared" si="10"/>
        <v>kashvi Ratta</v>
      </c>
      <c r="Y95">
        <f t="shared" ca="1" si="11"/>
        <v>53</v>
      </c>
      <c r="AA95" s="5" t="str">
        <f t="shared" ca="1" si="12"/>
        <v>No</v>
      </c>
      <c r="AC95" s="5" t="str">
        <f t="shared" si="13"/>
        <v>441448</v>
      </c>
      <c r="AE95" t="s">
        <v>15</v>
      </c>
      <c r="AG95">
        <v>53</v>
      </c>
      <c r="AI95" t="str">
        <f>REPLACE(F94, 1, SEARCH("@", F94), "")</f>
        <v>rattan-sunder.com</v>
      </c>
      <c r="AK95">
        <v>51</v>
      </c>
      <c r="AM95" t="s">
        <v>15</v>
      </c>
    </row>
    <row r="96" spans="1:39" ht="43.2">
      <c r="A96" t="s">
        <v>3505</v>
      </c>
      <c r="B96" t="s">
        <v>467</v>
      </c>
      <c r="C96" s="1">
        <v>26037</v>
      </c>
      <c r="D96" t="s">
        <v>15</v>
      </c>
      <c r="E96">
        <v>7701715772</v>
      </c>
      <c r="F96" t="s">
        <v>468</v>
      </c>
      <c r="G96" s="2" t="s">
        <v>469</v>
      </c>
      <c r="H96">
        <v>6153966958</v>
      </c>
      <c r="I96" t="s">
        <v>470</v>
      </c>
      <c r="J96">
        <f ca="1">DATEDIF(C100, TODAY(), "y")</f>
        <v>32</v>
      </c>
      <c r="K96" t="str">
        <f t="shared" ca="1" si="8"/>
        <v>30-60</v>
      </c>
      <c r="M96" t="str">
        <v>Lagan</v>
      </c>
      <c r="N96" t="str">
        <v>Madan</v>
      </c>
      <c r="P96" t="str">
        <v>Lagan</v>
      </c>
      <c r="Q96" t="str">
        <v>Madan</v>
      </c>
      <c r="S96" t="str" cm="1">
        <f t="array" ref="S96">_xlfn.IFS(OR(D95="M", D95="Male"), "Male", OR(D95="F", D95="Female"), "Female", TRUE, "Other")</f>
        <v>Female</v>
      </c>
      <c r="U96" t="str">
        <f t="shared" si="9"/>
        <v>lagan Madan</v>
      </c>
      <c r="W96" t="str">
        <f t="shared" si="10"/>
        <v>lagan Madan</v>
      </c>
      <c r="Y96">
        <f t="shared" ca="1" si="11"/>
        <v>53</v>
      </c>
      <c r="AA96" s="5" t="str">
        <f t="shared" ca="1" si="12"/>
        <v>No</v>
      </c>
      <c r="AC96" s="5" t="str">
        <f t="shared" si="13"/>
        <v>954538</v>
      </c>
      <c r="AE96" t="s">
        <v>28</v>
      </c>
      <c r="AG96">
        <v>53</v>
      </c>
      <c r="AI96" t="str">
        <f>REPLACE(F95, 1, SEARCH("@", F95), "")</f>
        <v>gmail.com</v>
      </c>
      <c r="AK96">
        <v>51</v>
      </c>
      <c r="AM96" t="s">
        <v>28</v>
      </c>
    </row>
    <row r="97" spans="1:39" ht="28.8" hidden="1">
      <c r="A97" t="s">
        <v>3506</v>
      </c>
      <c r="B97" t="s">
        <v>471</v>
      </c>
      <c r="C97" s="1">
        <v>20254</v>
      </c>
      <c r="D97" t="s">
        <v>10</v>
      </c>
      <c r="E97">
        <v>2461919657</v>
      </c>
      <c r="F97" t="s">
        <v>472</v>
      </c>
      <c r="G97" s="2" t="s">
        <v>473</v>
      </c>
      <c r="H97">
        <v>1909862405</v>
      </c>
      <c r="I97" t="s">
        <v>474</v>
      </c>
      <c r="J97">
        <v>54</v>
      </c>
      <c r="K97" t="str">
        <f t="shared" ca="1" si="8"/>
        <v>30-60</v>
      </c>
      <c r="M97" t="str">
        <v>Rati</v>
      </c>
      <c r="N97" t="str">
        <v>Salvi</v>
      </c>
      <c r="P97" t="str">
        <v>Rati</v>
      </c>
      <c r="Q97" t="str">
        <v>Salvi</v>
      </c>
      <c r="S97" t="str" cm="1">
        <f t="array" ref="S97">_xlfn.IFS(OR(D96="M", D96="Male"), "Male", OR(D96="F", D96="Female"), "Female", TRUE, "Other")</f>
        <v>Male</v>
      </c>
      <c r="U97" t="str">
        <f t="shared" si="9"/>
        <v>rati Salvi</v>
      </c>
      <c r="W97" t="str">
        <f t="shared" si="10"/>
        <v>rati Salvi</v>
      </c>
      <c r="Y97">
        <f t="shared" ca="1" si="11"/>
        <v>54</v>
      </c>
      <c r="AA97" s="5" t="str">
        <f t="shared" ca="1" si="12"/>
        <v>No</v>
      </c>
      <c r="AC97" s="5" t="str">
        <f t="shared" si="13"/>
        <v>393827</v>
      </c>
      <c r="AE97" t="s">
        <v>15</v>
      </c>
      <c r="AG97">
        <v>54</v>
      </c>
      <c r="AI97" t="str">
        <f>REPLACE(F96, 1, SEARCH("@", F96), "")</f>
        <v>hotmail.com</v>
      </c>
      <c r="AK97">
        <v>50</v>
      </c>
      <c r="AM97" t="s">
        <v>15</v>
      </c>
    </row>
    <row r="98" spans="1:39" ht="43.2" hidden="1">
      <c r="A98" t="s">
        <v>3507</v>
      </c>
      <c r="B98" t="s">
        <v>452</v>
      </c>
      <c r="C98" s="1">
        <v>18505</v>
      </c>
      <c r="D98" t="s">
        <v>10</v>
      </c>
      <c r="E98">
        <v>7128144294</v>
      </c>
      <c r="F98" t="s">
        <v>482</v>
      </c>
      <c r="G98" s="2" t="s">
        <v>483</v>
      </c>
      <c r="H98">
        <v>6637239504</v>
      </c>
      <c r="I98" t="s">
        <v>484</v>
      </c>
      <c r="J98">
        <v>70</v>
      </c>
      <c r="K98" t="str">
        <f t="shared" ca="1" si="8"/>
        <v>&gt;60</v>
      </c>
      <c r="M98" t="str">
        <v>Shaan</v>
      </c>
      <c r="N98" t="str">
        <v>Mall</v>
      </c>
      <c r="P98" t="str">
        <v>Shaan</v>
      </c>
      <c r="Q98" t="str">
        <v>Mall</v>
      </c>
      <c r="S98" t="str" cm="1">
        <f t="array" ref="S98">_xlfn.IFS(OR(D97="M", D97="Male"), "Male", OR(D97="F", D97="Female"), "Female", TRUE, "Other")</f>
        <v>Other</v>
      </c>
      <c r="U98" t="str">
        <f t="shared" si="9"/>
        <v>shaan Mall</v>
      </c>
      <c r="W98" t="str">
        <f t="shared" si="10"/>
        <v>shaan Mall</v>
      </c>
      <c r="Y98">
        <f t="shared" ca="1" si="11"/>
        <v>70</v>
      </c>
      <c r="AA98" s="5" t="str">
        <f t="shared" ca="1" si="12"/>
        <v>Yes</v>
      </c>
      <c r="AC98" s="5" t="str">
        <f t="shared" si="13"/>
        <v>549465</v>
      </c>
      <c r="AE98" t="s">
        <v>10</v>
      </c>
      <c r="AG98">
        <v>70</v>
      </c>
      <c r="AI98" t="str">
        <f>REPLACE(F97, 1, SEARCH("@", F97), "")</f>
        <v>zacharia.com</v>
      </c>
      <c r="AK98">
        <v>50</v>
      </c>
      <c r="AM98" t="s">
        <v>10</v>
      </c>
    </row>
    <row r="99" spans="1:39" ht="28.8" hidden="1">
      <c r="A99" t="s">
        <v>3508</v>
      </c>
      <c r="B99" t="s">
        <v>485</v>
      </c>
      <c r="C99" s="1">
        <v>23634</v>
      </c>
      <c r="D99" t="s">
        <v>28</v>
      </c>
      <c r="E99">
        <v>6742860476</v>
      </c>
      <c r="F99" t="s">
        <v>486</v>
      </c>
      <c r="G99" s="2" t="s">
        <v>487</v>
      </c>
      <c r="H99">
        <v>8001061817</v>
      </c>
      <c r="I99" t="s">
        <v>488</v>
      </c>
      <c r="J99">
        <v>75</v>
      </c>
      <c r="K99" t="str">
        <f t="shared" ca="1" si="8"/>
        <v>&gt;60</v>
      </c>
      <c r="M99" t="str">
        <v>Sara</v>
      </c>
      <c r="N99" t="str">
        <v>Ratta</v>
      </c>
      <c r="P99" t="str">
        <v>Sara</v>
      </c>
      <c r="Q99" t="str">
        <v>Ratta</v>
      </c>
      <c r="S99" t="str" cm="1">
        <f t="array" ref="S99">_xlfn.IFS(OR(D98="M", D98="Male"), "Male", OR(D98="F", D98="Female"), "Female", TRUE, "Other")</f>
        <v>Other</v>
      </c>
      <c r="U99" t="str">
        <f t="shared" si="9"/>
        <v>sara Ratta</v>
      </c>
      <c r="W99" t="str">
        <f t="shared" si="10"/>
        <v>sara Ratta</v>
      </c>
      <c r="Y99">
        <f t="shared" ca="1" si="11"/>
        <v>75</v>
      </c>
      <c r="AA99" s="5" t="str">
        <f t="shared" ca="1" si="12"/>
        <v>Yes</v>
      </c>
      <c r="AC99" s="5" t="str">
        <f t="shared" si="13"/>
        <v>512927</v>
      </c>
      <c r="AE99" t="s">
        <v>10</v>
      </c>
      <c r="AG99">
        <v>75</v>
      </c>
      <c r="AI99" t="str">
        <f>REPLACE(F98, 1, SEARCH("@", F98), "")</f>
        <v>gmail.com</v>
      </c>
      <c r="AK99">
        <v>50</v>
      </c>
      <c r="AM99" t="s">
        <v>10</v>
      </c>
    </row>
    <row r="100" spans="1:39" ht="28.8">
      <c r="A100" t="s">
        <v>3509</v>
      </c>
      <c r="B100" t="s">
        <v>489</v>
      </c>
      <c r="C100" s="1">
        <v>34147</v>
      </c>
      <c r="D100" t="s">
        <v>15</v>
      </c>
      <c r="E100">
        <v>919111926921</v>
      </c>
      <c r="F100" t="s">
        <v>490</v>
      </c>
      <c r="G100" s="2" t="s">
        <v>491</v>
      </c>
      <c r="H100">
        <v>9627128639</v>
      </c>
      <c r="I100" t="s">
        <v>492</v>
      </c>
      <c r="J100">
        <f ca="1">DATEDIF(C104, TODAY(), "y")</f>
        <v>21</v>
      </c>
      <c r="K100" t="str">
        <f t="shared" ca="1" si="8"/>
        <v>&gt;60</v>
      </c>
      <c r="M100" t="str">
        <v>Suhana</v>
      </c>
      <c r="N100" t="str">
        <v>Lata</v>
      </c>
      <c r="P100" t="str">
        <v>Suhana</v>
      </c>
      <c r="Q100" t="str">
        <v>Lata</v>
      </c>
      <c r="S100" t="str" cm="1">
        <f t="array" ref="S100">_xlfn.IFS(OR(D99="M", D99="Male"), "Male", OR(D99="F", D99="Female"), "Female", TRUE, "Other")</f>
        <v>Female</v>
      </c>
      <c r="U100" t="str">
        <f t="shared" si="9"/>
        <v>suhana Lata</v>
      </c>
      <c r="W100" t="str">
        <f t="shared" si="10"/>
        <v>suhana Lata</v>
      </c>
      <c r="Y100">
        <f t="shared" ca="1" si="11"/>
        <v>61</v>
      </c>
      <c r="AA100" s="5" t="str">
        <f t="shared" ca="1" si="12"/>
        <v>Yes</v>
      </c>
      <c r="AC100" s="5" t="str">
        <f t="shared" si="13"/>
        <v>938525</v>
      </c>
      <c r="AE100" t="s">
        <v>28</v>
      </c>
      <c r="AG100">
        <v>61</v>
      </c>
      <c r="AI100" t="str">
        <f>REPLACE(F99, 1, SEARCH("@", F99), "")</f>
        <v>hotmail.com</v>
      </c>
      <c r="AK100">
        <v>50</v>
      </c>
      <c r="AM100" t="s">
        <v>28</v>
      </c>
    </row>
    <row r="101" spans="1:39" ht="28.8" hidden="1">
      <c r="A101" t="s">
        <v>3510</v>
      </c>
      <c r="B101" t="s">
        <v>493</v>
      </c>
      <c r="C101" s="1">
        <v>28909</v>
      </c>
      <c r="D101" t="s">
        <v>28</v>
      </c>
      <c r="E101">
        <v>917200642569</v>
      </c>
      <c r="F101" t="s">
        <v>494</v>
      </c>
      <c r="G101" s="2" t="s">
        <v>495</v>
      </c>
      <c r="H101">
        <v>1743280634</v>
      </c>
      <c r="I101" t="s">
        <v>496</v>
      </c>
      <c r="J101">
        <v>32</v>
      </c>
      <c r="K101" t="str">
        <f t="shared" ca="1" si="8"/>
        <v>30-60</v>
      </c>
      <c r="M101" t="str">
        <v>Bhavin</v>
      </c>
      <c r="N101" t="str">
        <v>Rajan</v>
      </c>
      <c r="P101" t="str">
        <v>Bhavin</v>
      </c>
      <c r="Q101" t="str">
        <v>Rajan</v>
      </c>
      <c r="S101" t="str" cm="1">
        <f t="array" ref="S101">_xlfn.IFS(OR(D100="M", D100="Male"), "Male", OR(D100="F", D100="Female"), "Female", TRUE, "Other")</f>
        <v>Male</v>
      </c>
      <c r="U101" t="str">
        <f t="shared" si="9"/>
        <v>bhavin Rajan</v>
      </c>
      <c r="W101" t="str">
        <f t="shared" si="10"/>
        <v>bhavin Rajan</v>
      </c>
      <c r="Y101">
        <f t="shared" ca="1" si="11"/>
        <v>32</v>
      </c>
      <c r="AA101" s="5" t="str">
        <f t="shared" ca="1" si="12"/>
        <v>No</v>
      </c>
      <c r="AC101" s="5" t="str">
        <f t="shared" si="13"/>
        <v>427173</v>
      </c>
      <c r="AE101" t="s">
        <v>15</v>
      </c>
      <c r="AG101">
        <v>32</v>
      </c>
      <c r="AI101" t="str">
        <f>REPLACE(F100, 1, SEARCH("@", F100), "")</f>
        <v>karan.biz</v>
      </c>
      <c r="AK101">
        <v>50</v>
      </c>
      <c r="AM101" t="s">
        <v>15</v>
      </c>
    </row>
    <row r="102" spans="1:39">
      <c r="A102" t="s">
        <v>3511</v>
      </c>
      <c r="B102" t="s">
        <v>504</v>
      </c>
      <c r="C102" s="1">
        <v>30251</v>
      </c>
      <c r="D102" t="s">
        <v>10</v>
      </c>
      <c r="E102">
        <v>1456083318</v>
      </c>
      <c r="F102" t="s">
        <v>505</v>
      </c>
      <c r="G102" t="s">
        <v>506</v>
      </c>
      <c r="H102">
        <v>9701082207</v>
      </c>
      <c r="I102" t="s">
        <v>507</v>
      </c>
      <c r="J102">
        <f ca="1">DATEDIF(C106, TODAY(), "y")</f>
        <v>30</v>
      </c>
      <c r="K102" t="str">
        <f t="shared" ca="1" si="8"/>
        <v>30-60</v>
      </c>
      <c r="M102" t="str">
        <v>Ojas</v>
      </c>
      <c r="N102" t="str">
        <v>Soni</v>
      </c>
      <c r="P102" t="str">
        <v>Ojas</v>
      </c>
      <c r="Q102" t="str">
        <v>Soni</v>
      </c>
      <c r="S102" t="str" cm="1">
        <f t="array" ref="S102">_xlfn.IFS(OR(D101="M", D101="Male"), "Male", OR(D101="F", D101="Female"), "Female", TRUE, "Other")</f>
        <v>Female</v>
      </c>
      <c r="U102" t="str">
        <f t="shared" si="9"/>
        <v>ojas Soni</v>
      </c>
      <c r="W102" t="str">
        <f t="shared" si="10"/>
        <v>ojas Soni</v>
      </c>
      <c r="Y102">
        <f t="shared" ca="1" si="11"/>
        <v>47</v>
      </c>
      <c r="AA102" s="5" t="str">
        <f t="shared" ca="1" si="12"/>
        <v>No</v>
      </c>
      <c r="AC102" s="5" t="str">
        <f t="shared" si="13"/>
        <v>601585</v>
      </c>
      <c r="AE102" t="s">
        <v>28</v>
      </c>
      <c r="AG102">
        <v>47</v>
      </c>
      <c r="AI102" t="str">
        <f>REPLACE(F101, 1, SEARCH("@", F101), "")</f>
        <v>uppal-seth.com</v>
      </c>
      <c r="AK102">
        <v>50</v>
      </c>
      <c r="AM102" t="s">
        <v>28</v>
      </c>
    </row>
    <row r="103" spans="1:39" ht="28.8" hidden="1">
      <c r="A103" t="s">
        <v>3512</v>
      </c>
      <c r="B103" t="s">
        <v>516</v>
      </c>
      <c r="C103" s="1">
        <v>27033</v>
      </c>
      <c r="D103" t="s">
        <v>28</v>
      </c>
      <c r="E103">
        <v>7016580464</v>
      </c>
      <c r="F103" t="s">
        <v>517</v>
      </c>
      <c r="G103" s="2" t="s">
        <v>518</v>
      </c>
      <c r="H103">
        <v>3817933554</v>
      </c>
      <c r="I103" t="s">
        <v>519</v>
      </c>
      <c r="J103">
        <v>43</v>
      </c>
      <c r="K103" t="str">
        <f t="shared" ca="1" si="8"/>
        <v>30-60</v>
      </c>
      <c r="M103" t="str">
        <v>Jivin</v>
      </c>
      <c r="N103" t="str">
        <v>Sekhon</v>
      </c>
      <c r="P103" t="str">
        <v>Jivin</v>
      </c>
      <c r="Q103" t="str">
        <v>Sekhon</v>
      </c>
      <c r="S103" t="str" cm="1">
        <f t="array" ref="S103">_xlfn.IFS(OR(D102="M", D102="Male"), "Male", OR(D102="F", D102="Female"), "Female", TRUE, "Other")</f>
        <v>Other</v>
      </c>
      <c r="U103" t="str">
        <f t="shared" si="9"/>
        <v>jivin Sekhon</v>
      </c>
      <c r="W103" t="str">
        <f t="shared" si="10"/>
        <v>jivin Sekhon</v>
      </c>
      <c r="Y103">
        <f t="shared" ca="1" si="11"/>
        <v>43</v>
      </c>
      <c r="AA103" s="5" t="str">
        <f t="shared" ca="1" si="12"/>
        <v>No</v>
      </c>
      <c r="AC103" s="5" t="str">
        <f t="shared" si="13"/>
        <v>543645</v>
      </c>
      <c r="AE103" t="s">
        <v>10</v>
      </c>
      <c r="AG103">
        <v>43</v>
      </c>
      <c r="AI103" t="str">
        <f>REPLACE(F102, 1, SEARCH("@", F102), "")</f>
        <v>kata.com</v>
      </c>
      <c r="AK103">
        <v>49</v>
      </c>
      <c r="AM103" t="s">
        <v>10</v>
      </c>
    </row>
    <row r="104" spans="1:39">
      <c r="A104" t="s">
        <v>3513</v>
      </c>
      <c r="B104" t="s">
        <v>414</v>
      </c>
      <c r="C104" s="1">
        <v>38445</v>
      </c>
      <c r="D104" t="s">
        <v>10</v>
      </c>
      <c r="E104">
        <v>917884795137</v>
      </c>
      <c r="F104" t="s">
        <v>520</v>
      </c>
      <c r="G104" t="s">
        <v>521</v>
      </c>
      <c r="H104">
        <v>3103856955</v>
      </c>
      <c r="I104" t="s">
        <v>522</v>
      </c>
      <c r="J104">
        <f ca="1">DATEDIF(C108, TODAY(), "y")</f>
        <v>44</v>
      </c>
      <c r="K104" t="str">
        <f t="shared" ca="1" si="8"/>
        <v>30-60</v>
      </c>
      <c r="M104" t="str">
        <v>Kabir</v>
      </c>
      <c r="N104" t="str">
        <v>Subramanian</v>
      </c>
      <c r="P104" t="str">
        <v>Kabir</v>
      </c>
      <c r="Q104" t="str">
        <v>Subramanian</v>
      </c>
      <c r="S104" t="str" cm="1">
        <f t="array" ref="S104">_xlfn.IFS(OR(D103="M", D103="Male"), "Male", OR(D103="F", D103="Female"), "Female", TRUE, "Other")</f>
        <v>Female</v>
      </c>
      <c r="U104" t="str">
        <f t="shared" si="9"/>
        <v>kabir Subramanian</v>
      </c>
      <c r="W104" t="str">
        <f t="shared" si="10"/>
        <v>kabir Subramanian</v>
      </c>
      <c r="Y104">
        <f t="shared" ca="1" si="11"/>
        <v>52</v>
      </c>
      <c r="AA104" s="5" t="str">
        <f t="shared" ca="1" si="12"/>
        <v>No</v>
      </c>
      <c r="AC104" s="5" t="str">
        <f t="shared" si="13"/>
        <v>818325</v>
      </c>
      <c r="AE104" t="s">
        <v>28</v>
      </c>
      <c r="AG104">
        <v>52</v>
      </c>
      <c r="AI104" t="str">
        <f>REPLACE(F103, 1, SEARCH("@", F103), "")</f>
        <v>bala.com</v>
      </c>
      <c r="AK104">
        <v>49</v>
      </c>
      <c r="AM104" t="s">
        <v>28</v>
      </c>
    </row>
    <row r="105" spans="1:39" ht="28.8" hidden="1">
      <c r="A105" t="s">
        <v>3514</v>
      </c>
      <c r="B105" t="s">
        <v>531</v>
      </c>
      <c r="C105" s="1">
        <v>28868</v>
      </c>
      <c r="D105" t="s">
        <v>10</v>
      </c>
      <c r="E105">
        <v>6742662991</v>
      </c>
      <c r="F105" t="s">
        <v>532</v>
      </c>
      <c r="G105" s="2" t="s">
        <v>533</v>
      </c>
      <c r="H105">
        <v>494787300</v>
      </c>
      <c r="I105" t="s">
        <v>534</v>
      </c>
      <c r="J105">
        <v>21</v>
      </c>
      <c r="K105" t="str">
        <f t="shared" ca="1" si="8"/>
        <v>&lt;30</v>
      </c>
      <c r="M105" t="str">
        <v>Damini</v>
      </c>
      <c r="N105" t="str">
        <v>Lall</v>
      </c>
      <c r="P105" t="str">
        <v>Damini</v>
      </c>
      <c r="Q105" t="str">
        <v>Lall</v>
      </c>
      <c r="S105" t="str" cm="1">
        <f t="array" ref="S105">_xlfn.IFS(OR(D104="M", D104="Male"), "Male", OR(D104="F", D104="Female"), "Female", TRUE, "Other")</f>
        <v>Other</v>
      </c>
      <c r="U105" t="str">
        <f t="shared" si="9"/>
        <v>damini Lall</v>
      </c>
      <c r="W105" t="str">
        <f t="shared" si="10"/>
        <v>damini Lall</v>
      </c>
      <c r="Y105">
        <f t="shared" ca="1" si="11"/>
        <v>21</v>
      </c>
      <c r="AA105" s="5" t="str">
        <f t="shared" ca="1" si="12"/>
        <v>No</v>
      </c>
      <c r="AC105" s="5" t="str">
        <f t="shared" si="13"/>
        <v>756704</v>
      </c>
      <c r="AE105" t="s">
        <v>10</v>
      </c>
      <c r="AG105">
        <v>21</v>
      </c>
      <c r="AI105" t="str">
        <f>REPLACE(F104, 1, SEARCH("@", F104), "")</f>
        <v>barad-bhagat.com</v>
      </c>
      <c r="AK105">
        <v>49</v>
      </c>
      <c r="AM105" t="s">
        <v>10</v>
      </c>
    </row>
    <row r="106" spans="1:39" ht="43.2" hidden="1">
      <c r="A106" t="s">
        <v>3515</v>
      </c>
      <c r="B106" t="s">
        <v>535</v>
      </c>
      <c r="C106" s="1">
        <v>34923</v>
      </c>
      <c r="D106" t="s">
        <v>28</v>
      </c>
      <c r="E106">
        <v>3014719597</v>
      </c>
      <c r="F106" t="s">
        <v>536</v>
      </c>
      <c r="G106" s="2" t="s">
        <v>537</v>
      </c>
      <c r="H106">
        <v>4481832192</v>
      </c>
      <c r="I106" t="s">
        <v>538</v>
      </c>
      <c r="J106">
        <v>47</v>
      </c>
      <c r="K106" t="str">
        <f t="shared" ca="1" si="8"/>
        <v>30-60</v>
      </c>
      <c r="M106" t="str">
        <v>Madhav</v>
      </c>
      <c r="N106" t="str">
        <v>Seth</v>
      </c>
      <c r="P106" t="str">
        <v>Madhav</v>
      </c>
      <c r="Q106" t="str">
        <v>Seth</v>
      </c>
      <c r="S106" t="str" cm="1">
        <f t="array" ref="S106">_xlfn.IFS(OR(D105="M", D105="Male"), "Male", OR(D105="F", D105="Female"), "Female", TRUE, "Other")</f>
        <v>Other</v>
      </c>
      <c r="U106" t="str">
        <f t="shared" si="9"/>
        <v>madhav Seth</v>
      </c>
      <c r="W106" t="str">
        <f t="shared" si="10"/>
        <v>madhav Seth</v>
      </c>
      <c r="Y106">
        <f t="shared" ca="1" si="11"/>
        <v>47</v>
      </c>
      <c r="AA106" s="5" t="str">
        <f t="shared" ca="1" si="12"/>
        <v>No</v>
      </c>
      <c r="AC106" s="5" t="str">
        <f t="shared" si="13"/>
        <v>326487</v>
      </c>
      <c r="AE106" t="s">
        <v>10</v>
      </c>
      <c r="AG106">
        <v>47</v>
      </c>
      <c r="AI106" t="str">
        <f>REPLACE(F105, 1, SEARCH("@", F105), "")</f>
        <v>ganesh.biz</v>
      </c>
      <c r="AK106">
        <v>48</v>
      </c>
      <c r="AM106" t="s">
        <v>10</v>
      </c>
    </row>
    <row r="107" spans="1:39" ht="43.2">
      <c r="A107" t="s">
        <v>3516</v>
      </c>
      <c r="B107" t="s">
        <v>345</v>
      </c>
      <c r="C107" s="1">
        <v>32244</v>
      </c>
      <c r="D107" t="s">
        <v>28</v>
      </c>
      <c r="E107">
        <v>2028457652</v>
      </c>
      <c r="F107" t="s">
        <v>539</v>
      </c>
      <c r="G107" s="2" t="s">
        <v>540</v>
      </c>
      <c r="H107">
        <v>2401322342</v>
      </c>
      <c r="I107" t="s">
        <v>541</v>
      </c>
      <c r="J107">
        <f t="shared" ref="J107:J108" ca="1" si="15">DATEDIF(C111, TODAY(), "y")</f>
        <v>66</v>
      </c>
      <c r="K107" t="str">
        <f t="shared" ca="1" si="8"/>
        <v>30-60</v>
      </c>
      <c r="M107" t="str">
        <v>Jayesh</v>
      </c>
      <c r="N107" t="str">
        <v>Korpal</v>
      </c>
      <c r="P107" t="str">
        <v>Jayesh</v>
      </c>
      <c r="Q107" t="str">
        <v>Korpal</v>
      </c>
      <c r="S107" t="str" cm="1">
        <f t="array" ref="S107">_xlfn.IFS(OR(D106="M", D106="Male"), "Male", OR(D106="F", D106="Female"), "Female", TRUE, "Other")</f>
        <v>Female</v>
      </c>
      <c r="U107" t="str">
        <f t="shared" si="9"/>
        <v>jayesh Korpal</v>
      </c>
      <c r="W107" t="str">
        <f t="shared" si="10"/>
        <v>jayesh Korpal</v>
      </c>
      <c r="Y107">
        <f t="shared" ca="1" si="11"/>
        <v>30</v>
      </c>
      <c r="AA107" s="5" t="str">
        <f t="shared" ca="1" si="12"/>
        <v>No</v>
      </c>
      <c r="AC107" s="5" t="str">
        <f t="shared" si="13"/>
        <v>045650</v>
      </c>
      <c r="AE107" t="s">
        <v>28</v>
      </c>
      <c r="AG107">
        <v>30</v>
      </c>
      <c r="AI107" t="str">
        <f>REPLACE(F106, 1, SEARCH("@", F106), "")</f>
        <v>yahoo.com</v>
      </c>
      <c r="AK107">
        <v>48</v>
      </c>
      <c r="AM107" t="s">
        <v>28</v>
      </c>
    </row>
    <row r="108" spans="1:39" ht="28.8">
      <c r="A108" t="s">
        <v>3517</v>
      </c>
      <c r="B108" t="s">
        <v>542</v>
      </c>
      <c r="C108" s="1">
        <v>29863</v>
      </c>
      <c r="D108" t="s">
        <v>15</v>
      </c>
      <c r="E108">
        <v>310890714</v>
      </c>
      <c r="F108" t="s">
        <v>543</v>
      </c>
      <c r="G108" s="2" t="s">
        <v>544</v>
      </c>
      <c r="H108">
        <v>9119083342</v>
      </c>
      <c r="I108" t="s">
        <v>545</v>
      </c>
      <c r="J108">
        <f t="shared" ca="1" si="15"/>
        <v>34</v>
      </c>
      <c r="K108" t="str">
        <f t="shared" ca="1" si="8"/>
        <v>30-60</v>
      </c>
      <c r="M108" t="str">
        <v>Divit</v>
      </c>
      <c r="N108" t="str">
        <v>Loke</v>
      </c>
      <c r="P108" t="str">
        <v>Divit</v>
      </c>
      <c r="Q108" t="str">
        <v>Loke</v>
      </c>
      <c r="S108" t="str" cm="1">
        <f t="array" ref="S108">_xlfn.IFS(OR(D107="M", D107="Male"), "Male", OR(D107="F", D107="Female"), "Female", TRUE, "Other")</f>
        <v>Female</v>
      </c>
      <c r="U108" t="str">
        <f t="shared" si="9"/>
        <v>divit Loke</v>
      </c>
      <c r="W108" t="str">
        <f t="shared" si="10"/>
        <v>divit Loke</v>
      </c>
      <c r="Y108">
        <f t="shared" ca="1" si="11"/>
        <v>38</v>
      </c>
      <c r="AA108" s="5" t="str">
        <f t="shared" ca="1" si="12"/>
        <v>No</v>
      </c>
      <c r="AC108" s="5" t="str">
        <f t="shared" si="13"/>
        <v>527985</v>
      </c>
      <c r="AE108" t="s">
        <v>28</v>
      </c>
      <c r="AG108">
        <v>38</v>
      </c>
      <c r="AI108" t="str">
        <f>REPLACE(F107, 1, SEARCH("@", F107), "")</f>
        <v>thakur.net</v>
      </c>
      <c r="AK108">
        <v>48</v>
      </c>
      <c r="AM108" t="s">
        <v>28</v>
      </c>
    </row>
    <row r="109" spans="1:39" ht="28.8" hidden="1">
      <c r="A109" t="s">
        <v>3518</v>
      </c>
      <c r="B109" t="s">
        <v>557</v>
      </c>
      <c r="C109" s="1">
        <v>19353</v>
      </c>
      <c r="D109" t="s">
        <v>15</v>
      </c>
      <c r="E109">
        <v>919025590561</v>
      </c>
      <c r="F109" t="s">
        <v>558</v>
      </c>
      <c r="G109" s="2" t="s">
        <v>559</v>
      </c>
      <c r="H109">
        <v>6986407905</v>
      </c>
      <c r="I109" t="s">
        <v>560</v>
      </c>
      <c r="J109">
        <v>44</v>
      </c>
      <c r="K109" t="str">
        <f t="shared" ca="1" si="8"/>
        <v>30-60</v>
      </c>
      <c r="M109" t="str">
        <v>Advik</v>
      </c>
      <c r="N109" t="str">
        <v>Soman</v>
      </c>
      <c r="P109" t="str">
        <v>Advik</v>
      </c>
      <c r="Q109" t="str">
        <v>Soman</v>
      </c>
      <c r="S109" t="str" cm="1">
        <f t="array" ref="S109">_xlfn.IFS(OR(D108="M", D108="Male"), "Male", OR(D108="F", D108="Female"), "Female", TRUE, "Other")</f>
        <v>Male</v>
      </c>
      <c r="U109" t="str">
        <f t="shared" si="9"/>
        <v>advik Soman</v>
      </c>
      <c r="W109" t="str">
        <f t="shared" si="10"/>
        <v>advik Soman</v>
      </c>
      <c r="Y109">
        <f t="shared" ca="1" si="11"/>
        <v>44</v>
      </c>
      <c r="AA109" s="5" t="str">
        <f t="shared" ca="1" si="12"/>
        <v>No</v>
      </c>
      <c r="AC109" s="5" t="str">
        <f t="shared" si="13"/>
        <v>528938</v>
      </c>
      <c r="AE109" t="s">
        <v>15</v>
      </c>
      <c r="AG109">
        <v>44</v>
      </c>
      <c r="AI109" t="str">
        <f>REPLACE(F108, 1, SEARCH("@", F108), "")</f>
        <v>shroff.com</v>
      </c>
      <c r="AK109">
        <v>47</v>
      </c>
      <c r="AM109" t="s">
        <v>15</v>
      </c>
    </row>
    <row r="110" spans="1:39" ht="43.2" hidden="1">
      <c r="A110" t="s">
        <v>3519</v>
      </c>
      <c r="B110" t="s">
        <v>414</v>
      </c>
      <c r="C110" s="1">
        <v>28642</v>
      </c>
      <c r="D110" t="s">
        <v>10</v>
      </c>
      <c r="E110">
        <v>7133344762</v>
      </c>
      <c r="F110" t="s">
        <v>580</v>
      </c>
      <c r="G110" s="2" t="s">
        <v>581</v>
      </c>
      <c r="H110">
        <v>7256366941</v>
      </c>
      <c r="I110" t="s">
        <v>582</v>
      </c>
      <c r="J110">
        <v>73</v>
      </c>
      <c r="K110" t="str">
        <f t="shared" ca="1" si="8"/>
        <v>&gt;60</v>
      </c>
      <c r="M110" t="str">
        <v>Raunak</v>
      </c>
      <c r="N110" t="str">
        <v>Dyal</v>
      </c>
      <c r="P110" t="str">
        <v>Raunak</v>
      </c>
      <c r="Q110" t="str">
        <v>Dyal</v>
      </c>
      <c r="S110" t="str" cm="1">
        <f t="array" ref="S110">_xlfn.IFS(OR(D109="M", D109="Male"), "Male", OR(D109="F", D109="Female"), "Female", TRUE, "Other")</f>
        <v>Male</v>
      </c>
      <c r="U110" t="str">
        <f t="shared" si="9"/>
        <v>raunak Dyal</v>
      </c>
      <c r="W110" t="str">
        <f t="shared" si="10"/>
        <v>raunak Dyal</v>
      </c>
      <c r="Y110">
        <f t="shared" ca="1" si="11"/>
        <v>73</v>
      </c>
      <c r="AA110" s="5" t="str">
        <f t="shared" ca="1" si="12"/>
        <v>Yes</v>
      </c>
      <c r="AC110" s="5" t="str">
        <f t="shared" si="13"/>
        <v>208507</v>
      </c>
      <c r="AE110" t="s">
        <v>15</v>
      </c>
      <c r="AG110">
        <v>73</v>
      </c>
      <c r="AI110" t="str">
        <f>REPLACE(F109, 1, SEARCH("@", F109), "")</f>
        <v>gmail.com</v>
      </c>
      <c r="AK110">
        <v>47</v>
      </c>
      <c r="AM110" t="s">
        <v>15</v>
      </c>
    </row>
    <row r="111" spans="1:39" ht="43.2" hidden="1">
      <c r="A111" t="s">
        <v>3520</v>
      </c>
      <c r="B111" t="s">
        <v>587</v>
      </c>
      <c r="C111" s="1">
        <v>21892</v>
      </c>
      <c r="D111" t="s">
        <v>10</v>
      </c>
      <c r="E111">
        <v>7617075877</v>
      </c>
      <c r="F111" t="s">
        <v>588</v>
      </c>
      <c r="G111" s="2" t="s">
        <v>589</v>
      </c>
      <c r="H111">
        <v>1371504165</v>
      </c>
      <c r="I111" t="s">
        <v>590</v>
      </c>
      <c r="J111">
        <v>47</v>
      </c>
      <c r="K111" t="str">
        <f t="shared" ca="1" si="8"/>
        <v>30-60</v>
      </c>
      <c r="M111" t="str">
        <v>Saanvi</v>
      </c>
      <c r="N111" t="str">
        <v>Lall</v>
      </c>
      <c r="P111" t="str">
        <v>Saanvi</v>
      </c>
      <c r="Q111" t="str">
        <v>Lall</v>
      </c>
      <c r="S111" t="str" cm="1">
        <f t="array" ref="S111">_xlfn.IFS(OR(D110="M", D110="Male"), "Male", OR(D110="F", D110="Female"), "Female", TRUE, "Other")</f>
        <v>Other</v>
      </c>
      <c r="U111" t="str">
        <f t="shared" si="9"/>
        <v>saanvi Lall</v>
      </c>
      <c r="W111" t="str">
        <f t="shared" si="10"/>
        <v>saanvi Lall</v>
      </c>
      <c r="Y111">
        <f t="shared" ca="1" si="11"/>
        <v>47</v>
      </c>
      <c r="AA111" s="5" t="str">
        <f t="shared" ca="1" si="12"/>
        <v>No</v>
      </c>
      <c r="AC111" s="5" t="str">
        <f t="shared" si="13"/>
        <v>359710</v>
      </c>
      <c r="AE111" t="s">
        <v>10</v>
      </c>
      <c r="AG111">
        <v>47</v>
      </c>
      <c r="AI111" t="str">
        <f>REPLACE(F110, 1, SEARCH("@", F110), "")</f>
        <v>yahoo.com</v>
      </c>
      <c r="AK111">
        <v>47</v>
      </c>
      <c r="AM111" t="s">
        <v>10</v>
      </c>
    </row>
    <row r="112" spans="1:39" hidden="1">
      <c r="A112" t="s">
        <v>3521</v>
      </c>
      <c r="B112" t="s">
        <v>80</v>
      </c>
      <c r="C112" s="1">
        <v>33444</v>
      </c>
      <c r="D112" t="s">
        <v>15</v>
      </c>
      <c r="E112">
        <v>9050975923</v>
      </c>
      <c r="F112" t="s">
        <v>591</v>
      </c>
      <c r="G112" t="s">
        <v>592</v>
      </c>
      <c r="H112">
        <v>9251583776</v>
      </c>
      <c r="I112" t="s">
        <v>593</v>
      </c>
      <c r="J112">
        <v>66</v>
      </c>
      <c r="K112" t="str">
        <f t="shared" ca="1" si="8"/>
        <v>&gt;60</v>
      </c>
      <c r="M112" t="str">
        <v>Anaya</v>
      </c>
      <c r="N112" t="str">
        <v>De</v>
      </c>
      <c r="P112" t="str">
        <v>Anaya</v>
      </c>
      <c r="Q112" t="str">
        <v>De</v>
      </c>
      <c r="S112" t="str" cm="1">
        <f t="array" ref="S112">_xlfn.IFS(OR(D111="M", D111="Male"), "Male", OR(D111="F", D111="Female"), "Female", TRUE, "Other")</f>
        <v>Other</v>
      </c>
      <c r="U112" t="str">
        <f t="shared" si="9"/>
        <v>anaya De</v>
      </c>
      <c r="W112" t="str">
        <f t="shared" si="10"/>
        <v>anaya De</v>
      </c>
      <c r="Y112">
        <f t="shared" ca="1" si="11"/>
        <v>66</v>
      </c>
      <c r="AA112" s="5" t="str">
        <f t="shared" ca="1" si="12"/>
        <v>Yes</v>
      </c>
      <c r="AC112" s="5" t="str">
        <f t="shared" si="13"/>
        <v>908926</v>
      </c>
      <c r="AE112" t="s">
        <v>10</v>
      </c>
      <c r="AG112">
        <v>66</v>
      </c>
      <c r="AI112" t="str">
        <f>REPLACE(F111, 1, SEARCH("@", F111), "")</f>
        <v>gmail.com</v>
      </c>
      <c r="AK112">
        <v>47</v>
      </c>
      <c r="AM112" t="s">
        <v>10</v>
      </c>
    </row>
    <row r="113" spans="1:39" hidden="1">
      <c r="A113" t="s">
        <v>3522</v>
      </c>
      <c r="B113" t="s">
        <v>594</v>
      </c>
      <c r="C113" s="1">
        <v>22458</v>
      </c>
      <c r="D113" t="s">
        <v>28</v>
      </c>
      <c r="E113">
        <v>6108573278</v>
      </c>
      <c r="F113" t="s">
        <v>595</v>
      </c>
      <c r="G113" t="s">
        <v>596</v>
      </c>
      <c r="H113">
        <v>4549180172</v>
      </c>
      <c r="I113" t="s">
        <v>597</v>
      </c>
      <c r="J113">
        <v>34</v>
      </c>
      <c r="K113" t="str">
        <f t="shared" ca="1" si="8"/>
        <v>30-60</v>
      </c>
      <c r="M113" t="str">
        <v>Anvi</v>
      </c>
      <c r="N113" t="str">
        <v>Karan</v>
      </c>
      <c r="P113" t="str">
        <v>Anvi</v>
      </c>
      <c r="Q113" t="str">
        <v>Karan</v>
      </c>
      <c r="S113" t="str" cm="1">
        <f t="array" ref="S113">_xlfn.IFS(OR(D112="M", D112="Male"), "Male", OR(D112="F", D112="Female"), "Female", TRUE, "Other")</f>
        <v>Male</v>
      </c>
      <c r="U113" t="str">
        <f t="shared" si="9"/>
        <v>anvi Karan</v>
      </c>
      <c r="W113" t="str">
        <f t="shared" si="10"/>
        <v>anvi Karan</v>
      </c>
      <c r="Y113">
        <f t="shared" ca="1" si="11"/>
        <v>34</v>
      </c>
      <c r="AA113" s="5" t="str">
        <f t="shared" ca="1" si="12"/>
        <v>No</v>
      </c>
      <c r="AC113" s="5" t="str">
        <f t="shared" si="13"/>
        <v>214764</v>
      </c>
      <c r="AE113" t="s">
        <v>15</v>
      </c>
      <c r="AG113">
        <v>34</v>
      </c>
      <c r="AI113" t="str">
        <f>REPLACE(F112, 1, SEARCH("@", F112), "")</f>
        <v>ramachandran.biz</v>
      </c>
      <c r="AK113">
        <v>47</v>
      </c>
      <c r="AM113" t="s">
        <v>15</v>
      </c>
    </row>
    <row r="114" spans="1:39" ht="43.2">
      <c r="A114" t="s">
        <v>3523</v>
      </c>
      <c r="B114" t="s">
        <v>80</v>
      </c>
      <c r="C114" s="1">
        <v>36651</v>
      </c>
      <c r="D114" t="s">
        <v>28</v>
      </c>
      <c r="E114">
        <v>7945232194</v>
      </c>
      <c r="F114" t="s">
        <v>598</v>
      </c>
      <c r="G114" s="2" t="s">
        <v>599</v>
      </c>
      <c r="H114">
        <v>303723683</v>
      </c>
      <c r="I114" t="s">
        <v>600</v>
      </c>
      <c r="J114">
        <f t="shared" ref="J114:J115" ca="1" si="16">DATEDIF(C118, TODAY(), "y")</f>
        <v>66</v>
      </c>
      <c r="K114" t="str">
        <f t="shared" ca="1" si="8"/>
        <v>&gt;60</v>
      </c>
      <c r="M114" t="str">
        <v>Tushar</v>
      </c>
      <c r="N114" t="str">
        <v>Rana</v>
      </c>
      <c r="P114" t="str">
        <v>Tushar</v>
      </c>
      <c r="Q114" t="str">
        <v>Rana</v>
      </c>
      <c r="S114" t="str" cm="1">
        <f t="array" ref="S114">_xlfn.IFS(OR(D113="M", D113="Male"), "Male", OR(D113="F", D113="Female"), "Female", TRUE, "Other")</f>
        <v>Female</v>
      </c>
      <c r="U114" t="str">
        <f t="shared" si="9"/>
        <v>tushar Rana</v>
      </c>
      <c r="W114" t="str">
        <f t="shared" si="10"/>
        <v>tushar Rana</v>
      </c>
      <c r="Y114">
        <f t="shared" ca="1" si="11"/>
        <v>64</v>
      </c>
      <c r="AA114" s="5" t="str">
        <f t="shared" ca="1" si="12"/>
        <v>Yes</v>
      </c>
      <c r="AC114" s="5" t="str">
        <f t="shared" si="13"/>
        <v>866179</v>
      </c>
      <c r="AE114" t="s">
        <v>28</v>
      </c>
      <c r="AG114">
        <v>64</v>
      </c>
      <c r="AI114" t="str">
        <f>REPLACE(F113, 1, SEARCH("@", F113), "")</f>
        <v>doctor-borde.com</v>
      </c>
      <c r="AK114">
        <v>47</v>
      </c>
      <c r="AM114" t="s">
        <v>28</v>
      </c>
    </row>
    <row r="115" spans="1:39" ht="28.8">
      <c r="A115" t="s">
        <v>3524</v>
      </c>
      <c r="B115" t="s">
        <v>609</v>
      </c>
      <c r="C115" s="1">
        <v>34467</v>
      </c>
      <c r="D115" t="s">
        <v>10</v>
      </c>
      <c r="E115">
        <v>910771199180</v>
      </c>
      <c r="F115" t="s">
        <v>610</v>
      </c>
      <c r="G115" s="2" t="s">
        <v>611</v>
      </c>
      <c r="H115">
        <v>2145653286</v>
      </c>
      <c r="I115" t="s">
        <v>612</v>
      </c>
      <c r="J115">
        <f t="shared" ca="1" si="16"/>
        <v>63</v>
      </c>
      <c r="K115" t="str">
        <f t="shared" ca="1" si="8"/>
        <v>&lt;30</v>
      </c>
      <c r="M115" t="str">
        <v>Samaira</v>
      </c>
      <c r="N115" t="str">
        <v>Karan</v>
      </c>
      <c r="P115" t="str">
        <v>Samaira</v>
      </c>
      <c r="Q115" t="str">
        <v>Karan</v>
      </c>
      <c r="S115" t="str" cm="1">
        <f t="array" ref="S115">_xlfn.IFS(OR(D114="M", D114="Male"), "Male", OR(D114="F", D114="Female"), "Female", TRUE, "Other")</f>
        <v>Female</v>
      </c>
      <c r="U115" t="str">
        <f t="shared" si="9"/>
        <v>samaira Karan</v>
      </c>
      <c r="W115" t="str">
        <f t="shared" si="10"/>
        <v>samaira Karan</v>
      </c>
      <c r="Y115">
        <f t="shared" ca="1" si="11"/>
        <v>25</v>
      </c>
      <c r="AA115" s="5" t="str">
        <f t="shared" ca="1" si="12"/>
        <v>No</v>
      </c>
      <c r="AC115" s="5" t="str">
        <f t="shared" si="13"/>
        <v>122031</v>
      </c>
      <c r="AE115" t="s">
        <v>28</v>
      </c>
      <c r="AG115">
        <v>25</v>
      </c>
      <c r="AI115" t="str">
        <f>REPLACE(F114, 1, SEARCH("@", F114), "")</f>
        <v>hora.com</v>
      </c>
      <c r="AK115">
        <v>47</v>
      </c>
      <c r="AM115" t="s">
        <v>28</v>
      </c>
    </row>
    <row r="116" spans="1:39" ht="43.2" hidden="1">
      <c r="A116" t="s">
        <v>3525</v>
      </c>
      <c r="B116" t="s">
        <v>613</v>
      </c>
      <c r="C116" s="1">
        <v>28827</v>
      </c>
      <c r="D116" t="s">
        <v>28</v>
      </c>
      <c r="E116">
        <v>910811556260</v>
      </c>
      <c r="F116" t="s">
        <v>614</v>
      </c>
      <c r="G116" s="2" t="s">
        <v>615</v>
      </c>
      <c r="H116">
        <v>3899756341</v>
      </c>
      <c r="I116" t="s">
        <v>616</v>
      </c>
      <c r="J116">
        <v>31</v>
      </c>
      <c r="K116" t="str">
        <f t="shared" ca="1" si="8"/>
        <v>30-60</v>
      </c>
      <c r="M116" t="str">
        <v>Drishya</v>
      </c>
      <c r="N116" t="str">
        <v>Ramakrishnan</v>
      </c>
      <c r="P116" t="str">
        <v>Drishya</v>
      </c>
      <c r="Q116" t="str">
        <v>Ramakrishnan</v>
      </c>
      <c r="S116" t="str" cm="1">
        <f t="array" ref="S116">_xlfn.IFS(OR(D115="M", D115="Male"), "Male", OR(D115="F", D115="Female"), "Female", TRUE, "Other")</f>
        <v>Other</v>
      </c>
      <c r="U116" t="str">
        <f t="shared" si="9"/>
        <v>drishya Ramakrishnan</v>
      </c>
      <c r="W116" t="str">
        <f t="shared" si="10"/>
        <v>drishya Ramakrishnan</v>
      </c>
      <c r="Y116">
        <f t="shared" ca="1" si="11"/>
        <v>31</v>
      </c>
      <c r="AA116" s="5" t="str">
        <f t="shared" ca="1" si="12"/>
        <v>No</v>
      </c>
      <c r="AC116" s="5" t="str">
        <f t="shared" si="13"/>
        <v>037548</v>
      </c>
      <c r="AE116" t="s">
        <v>10</v>
      </c>
      <c r="AG116">
        <v>31</v>
      </c>
      <c r="AI116" t="str">
        <f>REPLACE(F115, 1, SEARCH("@", F115), "")</f>
        <v>golla.com</v>
      </c>
      <c r="AK116">
        <v>47</v>
      </c>
      <c r="AM116" t="s">
        <v>10</v>
      </c>
    </row>
    <row r="117" spans="1:39" ht="28.8">
      <c r="A117" t="s">
        <v>3526</v>
      </c>
      <c r="B117" t="s">
        <v>625</v>
      </c>
      <c r="C117" s="1">
        <v>25133</v>
      </c>
      <c r="D117" t="s">
        <v>10</v>
      </c>
      <c r="E117">
        <v>229604432</v>
      </c>
      <c r="F117" t="s">
        <v>626</v>
      </c>
      <c r="G117" s="2" t="s">
        <v>627</v>
      </c>
      <c r="H117">
        <v>7725199663</v>
      </c>
      <c r="I117" t="s">
        <v>628</v>
      </c>
      <c r="J117">
        <f ca="1">DATEDIF(C121, TODAY(), "y")</f>
        <v>71</v>
      </c>
      <c r="K117" t="str">
        <f t="shared" ca="1" si="8"/>
        <v>30-60</v>
      </c>
      <c r="M117" t="str">
        <v>Taran</v>
      </c>
      <c r="N117" t="str">
        <v>Aurora</v>
      </c>
      <c r="P117" t="str">
        <v>Taran</v>
      </c>
      <c r="Q117" t="str">
        <v>Aurora</v>
      </c>
      <c r="S117" t="str" cm="1">
        <f t="array" ref="S117">_xlfn.IFS(OR(D116="M", D116="Male"), "Male", OR(D116="F", D116="Female"), "Female", TRUE, "Other")</f>
        <v>Female</v>
      </c>
      <c r="U117" t="str">
        <f t="shared" si="9"/>
        <v>taran Aurora</v>
      </c>
      <c r="W117" t="str">
        <f t="shared" si="10"/>
        <v>taran Aurora</v>
      </c>
      <c r="Y117">
        <f t="shared" ca="1" si="11"/>
        <v>47</v>
      </c>
      <c r="AA117" s="5" t="str">
        <f t="shared" ca="1" si="12"/>
        <v>No</v>
      </c>
      <c r="AC117" s="5" t="str">
        <f t="shared" si="13"/>
        <v>489267</v>
      </c>
      <c r="AE117" t="s">
        <v>28</v>
      </c>
      <c r="AG117">
        <v>47</v>
      </c>
      <c r="AI117" t="str">
        <f>REPLACE(F116, 1, SEARCH("@", F116), "")</f>
        <v>gmail.com</v>
      </c>
      <c r="AK117">
        <v>46</v>
      </c>
      <c r="AM117" t="s">
        <v>28</v>
      </c>
    </row>
    <row r="118" spans="1:39" ht="28.8" hidden="1">
      <c r="A118" t="s">
        <v>3527</v>
      </c>
      <c r="B118" t="s">
        <v>629</v>
      </c>
      <c r="C118" s="1">
        <v>21943</v>
      </c>
      <c r="D118" t="s">
        <v>10</v>
      </c>
      <c r="E118">
        <v>948181398</v>
      </c>
      <c r="F118" t="s">
        <v>630</v>
      </c>
      <c r="G118" s="2" t="s">
        <v>631</v>
      </c>
      <c r="H118">
        <v>6260856411</v>
      </c>
      <c r="I118" t="s">
        <v>632</v>
      </c>
      <c r="J118">
        <v>57</v>
      </c>
      <c r="K118" t="str">
        <f t="shared" ca="1" si="8"/>
        <v>30-60</v>
      </c>
      <c r="M118" t="str">
        <v>Umang</v>
      </c>
      <c r="N118" t="str">
        <v>Doshi</v>
      </c>
      <c r="P118" t="str">
        <v>Umang</v>
      </c>
      <c r="Q118" t="str">
        <v>Doshi</v>
      </c>
      <c r="S118" t="str" cm="1">
        <f t="array" ref="S118">_xlfn.IFS(OR(D117="M", D117="Male"), "Male", OR(D117="F", D117="Female"), "Female", TRUE, "Other")</f>
        <v>Other</v>
      </c>
      <c r="U118" t="str">
        <f t="shared" si="9"/>
        <v>umang Doshi</v>
      </c>
      <c r="W118" t="str">
        <f t="shared" si="10"/>
        <v>umang Doshi</v>
      </c>
      <c r="Y118">
        <f t="shared" ca="1" si="11"/>
        <v>57</v>
      </c>
      <c r="AA118" s="5" t="str">
        <f t="shared" ca="1" si="12"/>
        <v>No</v>
      </c>
      <c r="AC118" s="5" t="str">
        <f t="shared" si="13"/>
        <v>792287</v>
      </c>
      <c r="AE118" t="s">
        <v>10</v>
      </c>
      <c r="AG118">
        <v>57</v>
      </c>
      <c r="AI118" t="str">
        <f>REPLACE(F117, 1, SEARCH("@", F117), "")</f>
        <v>yahoo.com</v>
      </c>
      <c r="AK118">
        <v>45</v>
      </c>
      <c r="AM118" t="s">
        <v>10</v>
      </c>
    </row>
    <row r="119" spans="1:39" ht="28.8" hidden="1">
      <c r="A119" t="s">
        <v>3528</v>
      </c>
      <c r="B119" t="s">
        <v>636</v>
      </c>
      <c r="C119" s="1">
        <v>22883</v>
      </c>
      <c r="D119" t="s">
        <v>10</v>
      </c>
      <c r="E119">
        <v>915823868700</v>
      </c>
      <c r="F119" t="s">
        <v>637</v>
      </c>
      <c r="G119" s="2" t="s">
        <v>638</v>
      </c>
      <c r="H119">
        <v>1284639855</v>
      </c>
      <c r="I119" t="s">
        <v>639</v>
      </c>
      <c r="J119">
        <v>66</v>
      </c>
      <c r="K119" t="str">
        <f t="shared" ca="1" si="8"/>
        <v>&gt;60</v>
      </c>
      <c r="M119" t="str">
        <v>Dhruv</v>
      </c>
      <c r="N119" t="str">
        <v>Verma</v>
      </c>
      <c r="P119" t="str">
        <v>Dhruv</v>
      </c>
      <c r="Q119" t="str">
        <v>Verma</v>
      </c>
      <c r="S119" t="str" cm="1">
        <f t="array" ref="S119">_xlfn.IFS(OR(D118="M", D118="Male"), "Male", OR(D118="F", D118="Female"), "Female", TRUE, "Other")</f>
        <v>Other</v>
      </c>
      <c r="U119" t="str">
        <f t="shared" si="9"/>
        <v>dhruv Verma</v>
      </c>
      <c r="W119" t="str">
        <f t="shared" si="10"/>
        <v>dhruv Verma</v>
      </c>
      <c r="Y119">
        <f t="shared" ca="1" si="11"/>
        <v>66</v>
      </c>
      <c r="AA119" s="5" t="str">
        <f t="shared" ca="1" si="12"/>
        <v>Yes</v>
      </c>
      <c r="AC119" s="5" t="str">
        <f t="shared" si="13"/>
        <v>690705</v>
      </c>
      <c r="AE119" t="s">
        <v>10</v>
      </c>
      <c r="AG119">
        <v>66</v>
      </c>
      <c r="AI119" t="str">
        <f>REPLACE(F118, 1, SEARCH("@", F118), "")</f>
        <v>yadav.net</v>
      </c>
      <c r="AK119">
        <v>45</v>
      </c>
      <c r="AM119" t="s">
        <v>10</v>
      </c>
    </row>
    <row r="120" spans="1:39" ht="28.8" hidden="1">
      <c r="A120" t="s">
        <v>3529</v>
      </c>
      <c r="B120" t="s">
        <v>648</v>
      </c>
      <c r="C120" s="1">
        <v>36156</v>
      </c>
      <c r="D120" t="s">
        <v>10</v>
      </c>
      <c r="E120">
        <v>916133254110</v>
      </c>
      <c r="F120" t="s">
        <v>649</v>
      </c>
      <c r="G120" s="2" t="s">
        <v>650</v>
      </c>
      <c r="H120">
        <v>9110065120</v>
      </c>
      <c r="I120" t="s">
        <v>651</v>
      </c>
      <c r="J120">
        <v>63</v>
      </c>
      <c r="K120" t="str">
        <f t="shared" ca="1" si="8"/>
        <v>&gt;60</v>
      </c>
      <c r="M120" t="str">
        <v>Myra</v>
      </c>
      <c r="N120" t="str">
        <v>Krishna</v>
      </c>
      <c r="P120" t="str">
        <v>Myra</v>
      </c>
      <c r="Q120" t="str">
        <v>Krishna</v>
      </c>
      <c r="S120" t="str" cm="1">
        <f t="array" ref="S120">_xlfn.IFS(OR(D119="M", D119="Male"), "Male", OR(D119="F", D119="Female"), "Female", TRUE, "Other")</f>
        <v>Other</v>
      </c>
      <c r="U120" t="str">
        <f t="shared" si="9"/>
        <v>myra Krishna</v>
      </c>
      <c r="W120" t="str">
        <f t="shared" si="10"/>
        <v>myra Krishna</v>
      </c>
      <c r="Y120">
        <f t="shared" ca="1" si="11"/>
        <v>63</v>
      </c>
      <c r="AA120" s="5" t="str">
        <f t="shared" ca="1" si="12"/>
        <v>Yes</v>
      </c>
      <c r="AC120" s="5" t="str">
        <f t="shared" si="13"/>
        <v>891416</v>
      </c>
      <c r="AE120" t="s">
        <v>10</v>
      </c>
      <c r="AG120">
        <v>63</v>
      </c>
      <c r="AI120" t="str">
        <f>REPLACE(F119, 1, SEARCH("@", F119), "")</f>
        <v>gmail.com</v>
      </c>
      <c r="AK120">
        <v>44</v>
      </c>
      <c r="AM120" t="s">
        <v>10</v>
      </c>
    </row>
    <row r="121" spans="1:39" ht="28.8" hidden="1">
      <c r="A121" t="s">
        <v>3530</v>
      </c>
      <c r="B121" t="s">
        <v>52</v>
      </c>
      <c r="C121" s="1">
        <v>19915</v>
      </c>
      <c r="D121" t="s">
        <v>15</v>
      </c>
      <c r="E121">
        <v>7853907895</v>
      </c>
      <c r="F121" t="s">
        <v>667</v>
      </c>
      <c r="G121" s="2" t="s">
        <v>668</v>
      </c>
      <c r="H121">
        <v>8143111508</v>
      </c>
      <c r="I121" t="s">
        <v>669</v>
      </c>
      <c r="J121">
        <v>27</v>
      </c>
      <c r="K121" t="str">
        <f t="shared" ca="1" si="8"/>
        <v>&lt;30</v>
      </c>
      <c r="M121" t="str">
        <v>Zara</v>
      </c>
      <c r="N121" t="str">
        <v>Arora</v>
      </c>
      <c r="P121" t="str">
        <v>Zara</v>
      </c>
      <c r="Q121" t="str">
        <v>Arora</v>
      </c>
      <c r="S121" t="str" cm="1">
        <f t="array" ref="S121">_xlfn.IFS(OR(D120="M", D120="Male"), "Male", OR(D120="F", D120="Female"), "Female", TRUE, "Other")</f>
        <v>Other</v>
      </c>
      <c r="U121" t="str">
        <f t="shared" si="9"/>
        <v>zara Arora</v>
      </c>
      <c r="W121" t="str">
        <f t="shared" si="10"/>
        <v>zara Arora</v>
      </c>
      <c r="Y121">
        <f t="shared" ca="1" si="11"/>
        <v>27</v>
      </c>
      <c r="AA121" s="5" t="str">
        <f t="shared" ca="1" si="12"/>
        <v>No</v>
      </c>
      <c r="AC121" s="5" t="str">
        <f t="shared" si="13"/>
        <v>199717</v>
      </c>
      <c r="AE121" t="s">
        <v>10</v>
      </c>
      <c r="AG121">
        <v>27</v>
      </c>
      <c r="AI121" t="str">
        <f>REPLACE(F120, 1, SEARCH("@", F120), "")</f>
        <v>hotmail.com</v>
      </c>
      <c r="AK121">
        <v>44</v>
      </c>
      <c r="AM121" t="s">
        <v>10</v>
      </c>
    </row>
    <row r="122" spans="1:39" ht="28.8" hidden="1">
      <c r="A122" t="s">
        <v>3531</v>
      </c>
      <c r="B122" t="s">
        <v>685</v>
      </c>
      <c r="C122" s="1">
        <v>38667</v>
      </c>
      <c r="D122" t="s">
        <v>28</v>
      </c>
      <c r="E122">
        <v>919124186210</v>
      </c>
      <c r="F122" t="s">
        <v>686</v>
      </c>
      <c r="G122" s="2" t="s">
        <v>687</v>
      </c>
      <c r="H122">
        <v>5331060053</v>
      </c>
      <c r="I122" t="s">
        <v>688</v>
      </c>
      <c r="J122">
        <v>71</v>
      </c>
      <c r="K122" t="str">
        <f t="shared" ca="1" si="8"/>
        <v>&gt;60</v>
      </c>
      <c r="M122" t="str">
        <v>Himmat</v>
      </c>
      <c r="N122" t="str">
        <v>Sheth</v>
      </c>
      <c r="P122" t="str">
        <v>Himmat</v>
      </c>
      <c r="Q122" t="str">
        <v>Sheth</v>
      </c>
      <c r="S122" t="str" cm="1">
        <f t="array" ref="S122">_xlfn.IFS(OR(D121="M", D121="Male"), "Male", OR(D121="F", D121="Female"), "Female", TRUE, "Other")</f>
        <v>Male</v>
      </c>
      <c r="U122" t="str">
        <f t="shared" si="9"/>
        <v>himmat Sheth</v>
      </c>
      <c r="W122" t="str">
        <f t="shared" si="10"/>
        <v>himmat Sheth</v>
      </c>
      <c r="Y122">
        <f t="shared" ca="1" si="11"/>
        <v>71</v>
      </c>
      <c r="AA122" s="5" t="str">
        <f t="shared" ca="1" si="12"/>
        <v>Yes</v>
      </c>
      <c r="AC122" s="5" t="str">
        <f t="shared" si="13"/>
        <v>151488</v>
      </c>
      <c r="AE122" t="s">
        <v>15</v>
      </c>
      <c r="AG122">
        <v>71</v>
      </c>
      <c r="AI122" t="str">
        <f>REPLACE(F121, 1, SEARCH("@", F121), "")</f>
        <v>yahoo.com</v>
      </c>
      <c r="AK122">
        <v>43</v>
      </c>
      <c r="AM122" t="s">
        <v>15</v>
      </c>
    </row>
    <row r="123" spans="1:39">
      <c r="A123" t="s">
        <v>3532</v>
      </c>
      <c r="B123" t="s">
        <v>689</v>
      </c>
      <c r="C123" s="1">
        <v>25958</v>
      </c>
      <c r="D123" t="s">
        <v>10</v>
      </c>
      <c r="E123">
        <v>8393866133</v>
      </c>
      <c r="F123" t="s">
        <v>690</v>
      </c>
      <c r="G123" t="s">
        <v>691</v>
      </c>
      <c r="H123">
        <v>8924195625</v>
      </c>
      <c r="I123" t="s">
        <v>692</v>
      </c>
      <c r="J123">
        <f ca="1">DATEDIF(C127, TODAY(), "y")</f>
        <v>31</v>
      </c>
      <c r="K123" t="str">
        <f t="shared" ca="1" si="8"/>
        <v>&lt;30</v>
      </c>
      <c r="M123" t="str">
        <v>Ishaan</v>
      </c>
      <c r="N123" t="str">
        <v>Chada</v>
      </c>
      <c r="P123" t="str">
        <v>Ishaan</v>
      </c>
      <c r="Q123" t="str">
        <v>Chada</v>
      </c>
      <c r="S123" t="str" cm="1">
        <f t="array" ref="S123">_xlfn.IFS(OR(D122="M", D122="Male"), "Male", OR(D122="F", D122="Female"), "Female", TRUE, "Other")</f>
        <v>Female</v>
      </c>
      <c r="U123" t="str">
        <f t="shared" si="9"/>
        <v>ishaan Chada</v>
      </c>
      <c r="W123" t="str">
        <f t="shared" si="10"/>
        <v>ishaan Chada</v>
      </c>
      <c r="Y123">
        <f t="shared" ca="1" si="11"/>
        <v>20</v>
      </c>
      <c r="AA123" s="5" t="str">
        <f t="shared" ca="1" si="12"/>
        <v>No</v>
      </c>
      <c r="AC123" s="5" t="str">
        <f t="shared" si="13"/>
        <v>900633</v>
      </c>
      <c r="AE123" t="s">
        <v>28</v>
      </c>
      <c r="AG123">
        <v>20</v>
      </c>
      <c r="AI123" t="str">
        <f>REPLACE(F122, 1, SEARCH("@", F122), "")</f>
        <v>gmail.com</v>
      </c>
      <c r="AK123">
        <v>43</v>
      </c>
      <c r="AM123" t="s">
        <v>28</v>
      </c>
    </row>
    <row r="124" spans="1:39" ht="43.2" hidden="1">
      <c r="A124" t="s">
        <v>3533</v>
      </c>
      <c r="B124" t="s">
        <v>693</v>
      </c>
      <c r="C124" s="1">
        <v>33748</v>
      </c>
      <c r="D124" t="s">
        <v>15</v>
      </c>
      <c r="E124">
        <v>3890309143</v>
      </c>
      <c r="F124" t="s">
        <v>694</v>
      </c>
      <c r="G124" s="2" t="s">
        <v>695</v>
      </c>
      <c r="H124">
        <v>864035533</v>
      </c>
      <c r="I124" t="s">
        <v>696</v>
      </c>
      <c r="J124">
        <v>55</v>
      </c>
      <c r="K124" t="str">
        <f t="shared" ca="1" si="8"/>
        <v>30-60</v>
      </c>
      <c r="M124" t="str">
        <v>Emir</v>
      </c>
      <c r="N124" t="str">
        <v>Tandon</v>
      </c>
      <c r="P124" t="str">
        <v>Emir</v>
      </c>
      <c r="Q124" t="str">
        <v>Tandon</v>
      </c>
      <c r="S124" t="str" cm="1">
        <f t="array" ref="S124">_xlfn.IFS(OR(D123="M", D123="Male"), "Male", OR(D123="F", D123="Female"), "Female", TRUE, "Other")</f>
        <v>Other</v>
      </c>
      <c r="U124" t="str">
        <f t="shared" si="9"/>
        <v>emir Tandon</v>
      </c>
      <c r="W124" t="str">
        <f t="shared" si="10"/>
        <v>emir Tandon</v>
      </c>
      <c r="Y124">
        <f t="shared" ca="1" si="11"/>
        <v>55</v>
      </c>
      <c r="AA124" s="5" t="str">
        <f t="shared" ca="1" si="12"/>
        <v>No</v>
      </c>
      <c r="AC124" s="5" t="str">
        <f t="shared" si="13"/>
        <v>364971</v>
      </c>
      <c r="AE124" t="s">
        <v>10</v>
      </c>
      <c r="AG124">
        <v>55</v>
      </c>
      <c r="AI124" t="str">
        <f>REPLACE(F123, 1, SEARCH("@", F123), "")</f>
        <v>sachdeva-dugar.com</v>
      </c>
      <c r="AK124">
        <v>43</v>
      </c>
      <c r="AM124" t="s">
        <v>10</v>
      </c>
    </row>
    <row r="125" spans="1:39" ht="28.8" hidden="1">
      <c r="A125" t="s">
        <v>3534</v>
      </c>
      <c r="B125" t="s">
        <v>531</v>
      </c>
      <c r="C125" s="1">
        <v>22194</v>
      </c>
      <c r="D125" t="s">
        <v>15</v>
      </c>
      <c r="E125">
        <v>6747468971</v>
      </c>
      <c r="F125" t="s">
        <v>701</v>
      </c>
      <c r="G125" s="2" t="s">
        <v>702</v>
      </c>
      <c r="H125">
        <v>169236458</v>
      </c>
      <c r="I125" t="s">
        <v>703</v>
      </c>
      <c r="J125">
        <v>33</v>
      </c>
      <c r="K125" t="str">
        <f t="shared" ca="1" si="8"/>
        <v>30-60</v>
      </c>
      <c r="M125" t="str">
        <v>Vaibhav</v>
      </c>
      <c r="N125" t="str">
        <v>Kumer</v>
      </c>
      <c r="P125" t="str">
        <v>Vaibhav</v>
      </c>
      <c r="Q125" t="str">
        <v>Kumer</v>
      </c>
      <c r="S125" t="str" cm="1">
        <f t="array" ref="S125">_xlfn.IFS(OR(D124="M", D124="Male"), "Male", OR(D124="F", D124="Female"), "Female", TRUE, "Other")</f>
        <v>Male</v>
      </c>
      <c r="U125" t="str">
        <f t="shared" si="9"/>
        <v>vaibhav Kumer</v>
      </c>
      <c r="W125" t="str">
        <f t="shared" si="10"/>
        <v>vaibhav Kumer</v>
      </c>
      <c r="Y125">
        <f t="shared" ca="1" si="11"/>
        <v>33</v>
      </c>
      <c r="AA125" s="5" t="str">
        <f t="shared" ca="1" si="12"/>
        <v>No</v>
      </c>
      <c r="AC125" s="5" t="str">
        <f t="shared" si="13"/>
        <v>975245</v>
      </c>
      <c r="AE125" t="s">
        <v>15</v>
      </c>
      <c r="AG125">
        <v>33</v>
      </c>
      <c r="AI125" t="str">
        <f>REPLACE(F124, 1, SEARCH("@", F124), "")</f>
        <v>gmail.com</v>
      </c>
      <c r="AK125">
        <v>43</v>
      </c>
      <c r="AM125" t="s">
        <v>15</v>
      </c>
    </row>
    <row r="126" spans="1:39" hidden="1">
      <c r="A126" t="s">
        <v>3535</v>
      </c>
      <c r="B126" t="s">
        <v>704</v>
      </c>
      <c r="C126" s="1">
        <v>26810</v>
      </c>
      <c r="D126" t="s">
        <v>10</v>
      </c>
      <c r="E126">
        <v>249724399</v>
      </c>
      <c r="F126" t="s">
        <v>705</v>
      </c>
      <c r="G126" t="s">
        <v>706</v>
      </c>
      <c r="H126">
        <v>5243640270</v>
      </c>
      <c r="I126" t="s">
        <v>707</v>
      </c>
      <c r="J126">
        <v>65</v>
      </c>
      <c r="K126" t="str">
        <f t="shared" ca="1" si="8"/>
        <v>&gt;60</v>
      </c>
      <c r="M126" t="str">
        <v>Ishita</v>
      </c>
      <c r="N126" t="str">
        <v>Seth</v>
      </c>
      <c r="P126" t="str">
        <v>Ishita</v>
      </c>
      <c r="Q126" t="str">
        <v>Seth</v>
      </c>
      <c r="S126" t="str" cm="1">
        <f t="array" ref="S126">_xlfn.IFS(OR(D125="M", D125="Male"), "Male", OR(D125="F", D125="Female"), "Female", TRUE, "Other")</f>
        <v>Male</v>
      </c>
      <c r="U126" t="str">
        <f t="shared" si="9"/>
        <v>ishita Seth</v>
      </c>
      <c r="W126" t="str">
        <f t="shared" si="10"/>
        <v>ishita Seth</v>
      </c>
      <c r="Y126">
        <f t="shared" ca="1" si="11"/>
        <v>65</v>
      </c>
      <c r="AA126" s="5" t="str">
        <f t="shared" ca="1" si="12"/>
        <v>Yes</v>
      </c>
      <c r="AC126" s="5" t="str">
        <f t="shared" si="13"/>
        <v>674916</v>
      </c>
      <c r="AE126" t="s">
        <v>15</v>
      </c>
      <c r="AG126">
        <v>65</v>
      </c>
      <c r="AI126" t="str">
        <f>REPLACE(F125, 1, SEARCH("@", F125), "")</f>
        <v>gmail.com</v>
      </c>
      <c r="AK126">
        <v>43</v>
      </c>
      <c r="AM126" t="s">
        <v>15</v>
      </c>
    </row>
    <row r="127" spans="1:39" ht="28.8" hidden="1">
      <c r="A127" t="s">
        <v>3536</v>
      </c>
      <c r="B127" t="s">
        <v>711</v>
      </c>
      <c r="C127" s="1">
        <v>34774</v>
      </c>
      <c r="D127" t="s">
        <v>10</v>
      </c>
      <c r="E127">
        <v>5356690551</v>
      </c>
      <c r="F127" t="s">
        <v>712</v>
      </c>
      <c r="G127" s="2" t="s">
        <v>713</v>
      </c>
      <c r="H127">
        <v>5739769156</v>
      </c>
      <c r="I127" t="s">
        <v>714</v>
      </c>
      <c r="J127">
        <v>52</v>
      </c>
      <c r="K127" t="str">
        <f t="shared" ca="1" si="8"/>
        <v>30-60</v>
      </c>
      <c r="M127" t="str">
        <v>Arhaan</v>
      </c>
      <c r="N127" t="str">
        <v>Talwar</v>
      </c>
      <c r="P127" t="str">
        <v>Arhaan</v>
      </c>
      <c r="Q127" t="str">
        <v>Talwar</v>
      </c>
      <c r="S127" t="str" cm="1">
        <f t="array" ref="S127">_xlfn.IFS(OR(D126="M", D126="Male"), "Male", OR(D126="F", D126="Female"), "Female", TRUE, "Other")</f>
        <v>Other</v>
      </c>
      <c r="U127" t="str">
        <f t="shared" si="9"/>
        <v>arhaan Talwar</v>
      </c>
      <c r="W127" t="str">
        <f t="shared" si="10"/>
        <v>arhaan Talwar</v>
      </c>
      <c r="Y127">
        <f t="shared" ca="1" si="11"/>
        <v>52</v>
      </c>
      <c r="AA127" s="5" t="str">
        <f t="shared" ca="1" si="12"/>
        <v>No</v>
      </c>
      <c r="AC127" s="5" t="str">
        <f t="shared" si="13"/>
        <v>946119</v>
      </c>
      <c r="AE127" t="s">
        <v>10</v>
      </c>
      <c r="AG127">
        <v>52</v>
      </c>
      <c r="AI127" t="str">
        <f>REPLACE(F126, 1, SEARCH("@", F126), "")</f>
        <v>rout.biz</v>
      </c>
      <c r="AK127">
        <v>43</v>
      </c>
      <c r="AM127" t="s">
        <v>10</v>
      </c>
    </row>
    <row r="128" spans="1:39" ht="28.8" hidden="1">
      <c r="A128" t="s">
        <v>3537</v>
      </c>
      <c r="B128" t="s">
        <v>283</v>
      </c>
      <c r="C128" s="1">
        <v>35639</v>
      </c>
      <c r="D128" t="s">
        <v>10</v>
      </c>
      <c r="E128">
        <v>271487271</v>
      </c>
      <c r="F128" t="s">
        <v>715</v>
      </c>
      <c r="G128" s="2" t="s">
        <v>716</v>
      </c>
      <c r="H128">
        <v>1539915668</v>
      </c>
      <c r="I128" t="s">
        <v>717</v>
      </c>
      <c r="J128">
        <v>31</v>
      </c>
      <c r="K128" t="str">
        <f t="shared" ca="1" si="8"/>
        <v>30-60</v>
      </c>
      <c r="M128" t="str">
        <v>Shayak</v>
      </c>
      <c r="N128" t="str">
        <v>Goyal</v>
      </c>
      <c r="P128" t="str">
        <v>Shayak</v>
      </c>
      <c r="Q128" t="str">
        <v>Goyal</v>
      </c>
      <c r="S128" t="str" cm="1">
        <f t="array" ref="S128">_xlfn.IFS(OR(D127="M", D127="Male"), "Male", OR(D127="F", D127="Female"), "Female", TRUE, "Other")</f>
        <v>Other</v>
      </c>
      <c r="U128" t="str">
        <f t="shared" si="9"/>
        <v>shayak Goyal</v>
      </c>
      <c r="W128" t="str">
        <f t="shared" si="10"/>
        <v>shayak Goyal</v>
      </c>
      <c r="Y128">
        <f t="shared" ca="1" si="11"/>
        <v>31</v>
      </c>
      <c r="AA128" s="5" t="str">
        <f t="shared" ca="1" si="12"/>
        <v>No</v>
      </c>
      <c r="AC128" s="5" t="str">
        <f t="shared" si="13"/>
        <v>305050</v>
      </c>
      <c r="AE128" t="s">
        <v>10</v>
      </c>
      <c r="AG128">
        <v>31</v>
      </c>
      <c r="AI128" t="str">
        <f>REPLACE(F127, 1, SEARCH("@", F127), "")</f>
        <v>seshadri-tiwari.com</v>
      </c>
      <c r="AK128">
        <v>43</v>
      </c>
      <c r="AM128" t="s">
        <v>10</v>
      </c>
    </row>
    <row r="129" spans="1:39" hidden="1">
      <c r="A129" t="s">
        <v>3538</v>
      </c>
      <c r="B129" t="s">
        <v>726</v>
      </c>
      <c r="C129" s="1">
        <v>30638</v>
      </c>
      <c r="D129" t="s">
        <v>15</v>
      </c>
      <c r="E129">
        <v>5962630136</v>
      </c>
      <c r="F129" t="s">
        <v>727</v>
      </c>
      <c r="G129" t="s">
        <v>728</v>
      </c>
      <c r="H129">
        <v>9997419267</v>
      </c>
      <c r="I129" t="s">
        <v>729</v>
      </c>
      <c r="J129">
        <v>28</v>
      </c>
      <c r="K129" t="str">
        <f t="shared" ca="1" si="8"/>
        <v>&lt;30</v>
      </c>
      <c r="M129" t="str">
        <v>Kaira</v>
      </c>
      <c r="N129" t="str">
        <v>Srinivasan</v>
      </c>
      <c r="P129" t="str">
        <v>Kaira</v>
      </c>
      <c r="Q129" t="str">
        <v>Srinivasan</v>
      </c>
      <c r="S129" t="str" cm="1">
        <f t="array" ref="S129">_xlfn.IFS(OR(D128="M", D128="Male"), "Male", OR(D128="F", D128="Female"), "Female", TRUE, "Other")</f>
        <v>Other</v>
      </c>
      <c r="U129" t="str">
        <f t="shared" si="9"/>
        <v>kaira Srinivasan</v>
      </c>
      <c r="W129" t="str">
        <f t="shared" si="10"/>
        <v>kaira Srinivasan</v>
      </c>
      <c r="Y129">
        <f t="shared" ca="1" si="11"/>
        <v>28</v>
      </c>
      <c r="AA129" s="5" t="str">
        <f t="shared" ca="1" si="12"/>
        <v>No</v>
      </c>
      <c r="AC129" s="5" t="str">
        <f t="shared" si="13"/>
        <v>471287</v>
      </c>
      <c r="AE129" t="s">
        <v>10</v>
      </c>
      <c r="AG129">
        <v>28</v>
      </c>
      <c r="AI129" t="str">
        <f>REPLACE(F128, 1, SEARCH("@", F128), "")</f>
        <v>gmail.com</v>
      </c>
      <c r="AK129">
        <v>43</v>
      </c>
      <c r="AM129" t="s">
        <v>10</v>
      </c>
    </row>
    <row r="130" spans="1:39" ht="28.8" hidden="1">
      <c r="A130" t="s">
        <v>3539</v>
      </c>
      <c r="B130" t="s">
        <v>755</v>
      </c>
      <c r="C130" s="1">
        <v>19093</v>
      </c>
      <c r="D130" t="s">
        <v>28</v>
      </c>
      <c r="E130">
        <v>6843356708</v>
      </c>
      <c r="F130" t="s">
        <v>756</v>
      </c>
      <c r="G130" s="2" t="s">
        <v>757</v>
      </c>
      <c r="H130">
        <v>4916247554</v>
      </c>
      <c r="I130" t="s">
        <v>758</v>
      </c>
      <c r="J130">
        <v>42</v>
      </c>
      <c r="K130" t="str">
        <f t="shared" ca="1" si="8"/>
        <v>30-60</v>
      </c>
      <c r="M130" t="str">
        <v>Baiju</v>
      </c>
      <c r="N130" t="str">
        <v>Bhargava</v>
      </c>
      <c r="P130" t="str">
        <v>Baiju</v>
      </c>
      <c r="Q130" t="str">
        <v>Bhargava</v>
      </c>
      <c r="S130" t="str" cm="1">
        <f t="array" ref="S130">_xlfn.IFS(OR(D129="M", D129="Male"), "Male", OR(D129="F", D129="Female"), "Female", TRUE, "Other")</f>
        <v>Male</v>
      </c>
      <c r="U130" t="str">
        <f t="shared" si="9"/>
        <v>baiju Bhargava</v>
      </c>
      <c r="W130" t="str">
        <f t="shared" si="10"/>
        <v>baiju Bhargava</v>
      </c>
      <c r="Y130">
        <f t="shared" ca="1" si="11"/>
        <v>42</v>
      </c>
      <c r="AA130" s="5" t="str">
        <f t="shared" ca="1" si="12"/>
        <v>No</v>
      </c>
      <c r="AC130" s="5" t="str">
        <f t="shared" si="13"/>
        <v>117830</v>
      </c>
      <c r="AE130" t="s">
        <v>15</v>
      </c>
      <c r="AG130">
        <v>42</v>
      </c>
      <c r="AI130" t="str">
        <f>REPLACE(F129, 1, SEARCH("@", F129), "")</f>
        <v>hotmail.com</v>
      </c>
      <c r="AK130">
        <v>42</v>
      </c>
      <c r="AM130" t="s">
        <v>15</v>
      </c>
    </row>
    <row r="131" spans="1:39" ht="28.8">
      <c r="A131" t="s">
        <v>3540</v>
      </c>
      <c r="B131" t="s">
        <v>759</v>
      </c>
      <c r="C131" s="1">
        <v>36292</v>
      </c>
      <c r="D131" t="s">
        <v>15</v>
      </c>
      <c r="E131">
        <v>8953439611</v>
      </c>
      <c r="F131" t="s">
        <v>760</v>
      </c>
      <c r="G131" s="2" t="s">
        <v>761</v>
      </c>
      <c r="H131">
        <v>5716176880</v>
      </c>
      <c r="I131" t="s">
        <v>762</v>
      </c>
      <c r="J131">
        <f ca="1">DATEDIF(C135, TODAY(), "y")</f>
        <v>76</v>
      </c>
      <c r="K131" t="str">
        <f t="shared" ca="1" si="8"/>
        <v>&gt;60</v>
      </c>
      <c r="M131" t="str">
        <v>Divij</v>
      </c>
      <c r="N131" t="str">
        <v>Venkatesh</v>
      </c>
      <c r="P131" t="str">
        <v>Divij</v>
      </c>
      <c r="Q131" t="str">
        <v>Venkatesh</v>
      </c>
      <c r="S131" t="str" cm="1">
        <f t="array" ref="S131">_xlfn.IFS(OR(D130="M", D130="Male"), "Male", OR(D130="F", D130="Female"), "Female", TRUE, "Other")</f>
        <v>Female</v>
      </c>
      <c r="U131" t="str">
        <f t="shared" si="9"/>
        <v>divij Venkatesh</v>
      </c>
      <c r="W131" t="str">
        <f t="shared" si="10"/>
        <v>divij Venkatesh</v>
      </c>
      <c r="Y131">
        <f t="shared" ca="1" si="11"/>
        <v>74</v>
      </c>
      <c r="AA131" s="5" t="str">
        <f t="shared" ca="1" si="12"/>
        <v>Yes</v>
      </c>
      <c r="AC131" s="5" t="str">
        <f t="shared" si="13"/>
        <v>005347</v>
      </c>
      <c r="AE131" t="s">
        <v>28</v>
      </c>
      <c r="AG131">
        <v>74</v>
      </c>
      <c r="AI131" t="str">
        <f>REPLACE(F130, 1, SEARCH("@", F130), "")</f>
        <v>yahoo.com</v>
      </c>
      <c r="AK131">
        <v>42</v>
      </c>
      <c r="AM131" t="s">
        <v>28</v>
      </c>
    </row>
    <row r="132" spans="1:39" ht="28.8" hidden="1">
      <c r="A132" t="s">
        <v>3541</v>
      </c>
      <c r="B132" t="s">
        <v>144</v>
      </c>
      <c r="C132" s="1">
        <v>36237</v>
      </c>
      <c r="D132" t="s">
        <v>15</v>
      </c>
      <c r="E132">
        <v>7881278686</v>
      </c>
      <c r="F132" t="s">
        <v>763</v>
      </c>
      <c r="G132" s="2" t="s">
        <v>764</v>
      </c>
      <c r="H132">
        <v>3402424033</v>
      </c>
      <c r="I132" t="s">
        <v>765</v>
      </c>
      <c r="J132">
        <v>26</v>
      </c>
      <c r="K132" t="str">
        <f t="shared" ref="K132:K195" ca="1" si="17">IF(Y132&lt;30,"&lt;30",IF(Y132&lt;=60,"30-60","&gt;60"))</f>
        <v>&lt;30</v>
      </c>
      <c r="M132" t="str">
        <v>Zoya</v>
      </c>
      <c r="N132" t="str">
        <v>Golla</v>
      </c>
      <c r="P132" t="str">
        <v>Zoya</v>
      </c>
      <c r="Q132" t="str">
        <v>Golla</v>
      </c>
      <c r="S132" t="str" cm="1">
        <f t="array" ref="S132">_xlfn.IFS(OR(D131="M", D131="Male"), "Male", OR(D131="F", D131="Female"), "Female", TRUE, "Other")</f>
        <v>Male</v>
      </c>
      <c r="U132" t="str">
        <f t="shared" ref="U132:U195" si="18">A131&amp;" "&amp;B131</f>
        <v>zoya Golla</v>
      </c>
      <c r="W132" t="str">
        <f t="shared" ref="W132:W195" si="19">CONCATENATE(A131," ",B131)</f>
        <v>zoya Golla</v>
      </c>
      <c r="Y132">
        <f t="shared" ref="Y132:Y195" ca="1" si="20">DATEDIF(C131, TODAY(), "y")</f>
        <v>26</v>
      </c>
      <c r="AA132" s="5" t="str">
        <f t="shared" ref="AA132:AA195" ca="1" si="21">IF(Y132 &gt; 60, "Yes", "No")</f>
        <v>No</v>
      </c>
      <c r="AC132" s="5" t="str">
        <f t="shared" ref="AC132:AC195" si="22">RIGHT(TRIM(G131), 6)</f>
        <v>368485</v>
      </c>
      <c r="AE132" t="s">
        <v>15</v>
      </c>
      <c r="AG132">
        <v>26</v>
      </c>
      <c r="AI132" t="str">
        <f>REPLACE(F131, 1, SEARCH("@", F131), "")</f>
        <v>taneja.info</v>
      </c>
      <c r="AK132">
        <v>42</v>
      </c>
      <c r="AM132" t="s">
        <v>15</v>
      </c>
    </row>
    <row r="133" spans="1:39" hidden="1">
      <c r="A133" t="s">
        <v>3542</v>
      </c>
      <c r="B133" t="s">
        <v>226</v>
      </c>
      <c r="C133" s="1">
        <v>21383</v>
      </c>
      <c r="D133" t="s">
        <v>15</v>
      </c>
      <c r="E133">
        <v>650191792</v>
      </c>
      <c r="F133" t="s">
        <v>782</v>
      </c>
      <c r="G133" t="s">
        <v>783</v>
      </c>
      <c r="H133">
        <v>9282066784</v>
      </c>
      <c r="I133" t="s">
        <v>784</v>
      </c>
      <c r="J133">
        <v>27</v>
      </c>
      <c r="K133" t="str">
        <f t="shared" ca="1" si="17"/>
        <v>&lt;30</v>
      </c>
      <c r="M133" t="str">
        <v>Rania</v>
      </c>
      <c r="N133" t="str">
        <v>Chandran</v>
      </c>
      <c r="P133" t="str">
        <v>Rania</v>
      </c>
      <c r="Q133" t="str">
        <v>Chandran</v>
      </c>
      <c r="S133" t="str" cm="1">
        <f t="array" ref="S133">_xlfn.IFS(OR(D132="M", D132="Male"), "Male", OR(D132="F", D132="Female"), "Female", TRUE, "Other")</f>
        <v>Male</v>
      </c>
      <c r="U133" t="str">
        <f t="shared" si="18"/>
        <v>rania Chandran</v>
      </c>
      <c r="W133" t="str">
        <f t="shared" si="19"/>
        <v>rania Chandran</v>
      </c>
      <c r="Y133">
        <f t="shared" ca="1" si="20"/>
        <v>27</v>
      </c>
      <c r="AA133" s="5" t="str">
        <f t="shared" ca="1" si="21"/>
        <v>No</v>
      </c>
      <c r="AC133" s="5" t="str">
        <f t="shared" si="22"/>
        <v>812308</v>
      </c>
      <c r="AE133" t="s">
        <v>15</v>
      </c>
      <c r="AG133">
        <v>27</v>
      </c>
      <c r="AI133" t="str">
        <f>REPLACE(F132, 1, SEARCH("@", F132), "")</f>
        <v>gmail.com</v>
      </c>
      <c r="AK133">
        <v>42</v>
      </c>
      <c r="AM133" t="s">
        <v>15</v>
      </c>
    </row>
    <row r="134" spans="1:39" ht="28.8" hidden="1">
      <c r="A134" t="s">
        <v>3543</v>
      </c>
      <c r="B134" t="s">
        <v>799</v>
      </c>
      <c r="C134" s="1">
        <v>19171</v>
      </c>
      <c r="D134" t="s">
        <v>28</v>
      </c>
      <c r="E134">
        <v>910644212146</v>
      </c>
      <c r="F134" t="s">
        <v>800</v>
      </c>
      <c r="G134" s="2" t="s">
        <v>801</v>
      </c>
      <c r="H134">
        <v>6089319925</v>
      </c>
      <c r="I134" t="s">
        <v>802</v>
      </c>
      <c r="J134">
        <v>67</v>
      </c>
      <c r="K134" t="str">
        <f t="shared" ca="1" si="17"/>
        <v>&gt;60</v>
      </c>
      <c r="M134" t="str">
        <v>Rasha</v>
      </c>
      <c r="N134" t="str">
        <v>Sarraf</v>
      </c>
      <c r="P134" t="str">
        <v>Rasha</v>
      </c>
      <c r="Q134" t="str">
        <v>Sarraf</v>
      </c>
      <c r="S134" t="str" cm="1">
        <f t="array" ref="S134">_xlfn.IFS(OR(D133="M", D133="Male"), "Male", OR(D133="F", D133="Female"), "Female", TRUE, "Other")</f>
        <v>Male</v>
      </c>
      <c r="U134" t="str">
        <f t="shared" si="18"/>
        <v>rasha Sarraf</v>
      </c>
      <c r="W134" t="str">
        <f t="shared" si="19"/>
        <v>rasha Sarraf</v>
      </c>
      <c r="Y134">
        <f t="shared" ca="1" si="20"/>
        <v>67</v>
      </c>
      <c r="AA134" s="5" t="str">
        <f t="shared" ca="1" si="21"/>
        <v>Yes</v>
      </c>
      <c r="AC134" s="5" t="str">
        <f t="shared" si="22"/>
        <v>041200</v>
      </c>
      <c r="AE134" t="s">
        <v>15</v>
      </c>
      <c r="AG134">
        <v>67</v>
      </c>
      <c r="AI134" t="str">
        <f>REPLACE(F133, 1, SEARCH("@", F133), "")</f>
        <v>das.com</v>
      </c>
      <c r="AK134">
        <v>42</v>
      </c>
      <c r="AM134" t="s">
        <v>15</v>
      </c>
    </row>
    <row r="135" spans="1:39" ht="28.8">
      <c r="A135" t="s">
        <v>3544</v>
      </c>
      <c r="B135" t="s">
        <v>843</v>
      </c>
      <c r="C135" s="1">
        <v>18259</v>
      </c>
      <c r="D135" t="s">
        <v>28</v>
      </c>
      <c r="E135">
        <v>4388221145</v>
      </c>
      <c r="F135" t="s">
        <v>844</v>
      </c>
      <c r="G135" s="2" t="s">
        <v>845</v>
      </c>
      <c r="H135">
        <v>263257039</v>
      </c>
      <c r="I135" t="s">
        <v>846</v>
      </c>
      <c r="J135">
        <f t="shared" ref="J135:J136" ca="1" si="23">DATEDIF(C139, TODAY(), "y")</f>
        <v>68</v>
      </c>
      <c r="K135" t="str">
        <f t="shared" ca="1" si="17"/>
        <v>&gt;60</v>
      </c>
      <c r="M135" t="str">
        <v>Anika</v>
      </c>
      <c r="N135" t="str">
        <v>Chhabra</v>
      </c>
      <c r="P135" t="str">
        <v>Anika</v>
      </c>
      <c r="Q135" t="str">
        <v>Chhabra</v>
      </c>
      <c r="S135" t="str" cm="1">
        <f t="array" ref="S135">_xlfn.IFS(OR(D134="M", D134="Male"), "Male", OR(D134="F", D134="Female"), "Female", TRUE, "Other")</f>
        <v>Female</v>
      </c>
      <c r="U135" t="str">
        <f t="shared" si="18"/>
        <v>anika Chhabra</v>
      </c>
      <c r="W135" t="str">
        <f t="shared" si="19"/>
        <v>anika Chhabra</v>
      </c>
      <c r="Y135">
        <f t="shared" ca="1" si="20"/>
        <v>73</v>
      </c>
      <c r="AA135" s="5" t="str">
        <f t="shared" ca="1" si="21"/>
        <v>Yes</v>
      </c>
      <c r="AC135" s="5" t="str">
        <f t="shared" si="22"/>
        <v>782659</v>
      </c>
      <c r="AE135" t="s">
        <v>28</v>
      </c>
      <c r="AG135">
        <v>73</v>
      </c>
      <c r="AI135" t="str">
        <f>REPLACE(F134, 1, SEARCH("@", F134), "")</f>
        <v>chhabra.com</v>
      </c>
      <c r="AK135">
        <v>41</v>
      </c>
      <c r="AM135" t="s">
        <v>28</v>
      </c>
    </row>
    <row r="136" spans="1:39" ht="28.8">
      <c r="A136" t="s">
        <v>3545</v>
      </c>
      <c r="B136" t="s">
        <v>851</v>
      </c>
      <c r="C136" s="1">
        <v>21250</v>
      </c>
      <c r="D136" t="s">
        <v>10</v>
      </c>
      <c r="E136">
        <v>4882142369</v>
      </c>
      <c r="F136" t="s">
        <v>852</v>
      </c>
      <c r="G136" s="2" t="s">
        <v>853</v>
      </c>
      <c r="H136">
        <v>4414978266</v>
      </c>
      <c r="I136" t="s">
        <v>854</v>
      </c>
      <c r="J136">
        <f t="shared" ca="1" si="23"/>
        <v>58</v>
      </c>
      <c r="K136" t="str">
        <f t="shared" ca="1" si="17"/>
        <v>&gt;60</v>
      </c>
      <c r="M136" t="str">
        <v>Azad</v>
      </c>
      <c r="N136" t="str">
        <v>Tank</v>
      </c>
      <c r="P136" t="str">
        <v>Azad</v>
      </c>
      <c r="Q136" t="str">
        <v>Tank</v>
      </c>
      <c r="S136" t="str" cm="1">
        <f t="array" ref="S136">_xlfn.IFS(OR(D135="M", D135="Male"), "Male", OR(D135="F", D135="Female"), "Female", TRUE, "Other")</f>
        <v>Female</v>
      </c>
      <c r="U136" t="str">
        <f t="shared" si="18"/>
        <v>azad Tank</v>
      </c>
      <c r="W136" t="str">
        <f t="shared" si="19"/>
        <v>azad Tank</v>
      </c>
      <c r="Y136">
        <f t="shared" ca="1" si="20"/>
        <v>76</v>
      </c>
      <c r="AA136" s="5" t="str">
        <f t="shared" ca="1" si="21"/>
        <v>Yes</v>
      </c>
      <c r="AC136" s="5" t="str">
        <f t="shared" si="22"/>
        <v>897148</v>
      </c>
      <c r="AE136" t="s">
        <v>28</v>
      </c>
      <c r="AG136">
        <v>76</v>
      </c>
      <c r="AI136" t="str">
        <f>REPLACE(F135, 1, SEARCH("@", F135), "")</f>
        <v>hotmail.com</v>
      </c>
      <c r="AK136">
        <v>40</v>
      </c>
      <c r="AM136" t="s">
        <v>28</v>
      </c>
    </row>
    <row r="137" spans="1:39" ht="43.2" hidden="1">
      <c r="A137" t="s">
        <v>3546</v>
      </c>
      <c r="B137" t="s">
        <v>855</v>
      </c>
      <c r="C137" s="1">
        <v>26630</v>
      </c>
      <c r="D137" t="s">
        <v>10</v>
      </c>
      <c r="E137">
        <v>7667080612</v>
      </c>
      <c r="F137" t="s">
        <v>856</v>
      </c>
      <c r="G137" s="2" t="s">
        <v>857</v>
      </c>
      <c r="H137">
        <v>4975019803</v>
      </c>
      <c r="I137" t="s">
        <v>858</v>
      </c>
      <c r="J137">
        <v>68</v>
      </c>
      <c r="K137" t="str">
        <f t="shared" ca="1" si="17"/>
        <v>&gt;60</v>
      </c>
      <c r="M137" t="str">
        <v>Badal</v>
      </c>
      <c r="N137" t="str">
        <v>Dass</v>
      </c>
      <c r="P137" t="str">
        <v>Badal</v>
      </c>
      <c r="Q137" t="str">
        <v>Dass</v>
      </c>
      <c r="S137" t="str" cm="1">
        <f t="array" ref="S137">_xlfn.IFS(OR(D136="M", D136="Male"), "Male", OR(D136="F", D136="Female"), "Female", TRUE, "Other")</f>
        <v>Other</v>
      </c>
      <c r="U137" t="str">
        <f t="shared" si="18"/>
        <v>badal Dass</v>
      </c>
      <c r="W137" t="str">
        <f t="shared" si="19"/>
        <v>badal Dass</v>
      </c>
      <c r="Y137">
        <f t="shared" ca="1" si="20"/>
        <v>68</v>
      </c>
      <c r="AA137" s="5" t="str">
        <f t="shared" ca="1" si="21"/>
        <v>Yes</v>
      </c>
      <c r="AC137" s="5" t="str">
        <f t="shared" si="22"/>
        <v>342683</v>
      </c>
      <c r="AE137" t="s">
        <v>10</v>
      </c>
      <c r="AG137">
        <v>68</v>
      </c>
      <c r="AI137" t="str">
        <f>REPLACE(F136, 1, SEARCH("@", F136), "")</f>
        <v>dash-tak.biz</v>
      </c>
      <c r="AK137">
        <v>40</v>
      </c>
      <c r="AM137" t="s">
        <v>10</v>
      </c>
    </row>
    <row r="138" spans="1:39" ht="28.8" hidden="1">
      <c r="A138" t="s">
        <v>3547</v>
      </c>
      <c r="B138" t="s">
        <v>681</v>
      </c>
      <c r="C138" s="1">
        <v>37707</v>
      </c>
      <c r="D138" t="s">
        <v>15</v>
      </c>
      <c r="E138">
        <v>917662047196</v>
      </c>
      <c r="F138" t="s">
        <v>862</v>
      </c>
      <c r="G138" s="2" t="s">
        <v>863</v>
      </c>
      <c r="H138">
        <v>5724461767</v>
      </c>
      <c r="I138" t="s">
        <v>864</v>
      </c>
      <c r="J138">
        <v>53</v>
      </c>
      <c r="K138" t="str">
        <f t="shared" ca="1" si="17"/>
        <v>30-60</v>
      </c>
      <c r="M138" t="str">
        <v>Taimur</v>
      </c>
      <c r="N138" t="str">
        <v>Kaur</v>
      </c>
      <c r="P138" t="str">
        <v>Taimur</v>
      </c>
      <c r="Q138" t="str">
        <v>Kaur</v>
      </c>
      <c r="S138" t="str" cm="1">
        <f t="array" ref="S138">_xlfn.IFS(OR(D137="M", D137="Male"), "Male", OR(D137="F", D137="Female"), "Female", TRUE, "Other")</f>
        <v>Other</v>
      </c>
      <c r="U138" t="str">
        <f t="shared" si="18"/>
        <v>taimur Kaur</v>
      </c>
      <c r="W138" t="str">
        <f t="shared" si="19"/>
        <v>taimur Kaur</v>
      </c>
      <c r="Y138">
        <f t="shared" ca="1" si="20"/>
        <v>53</v>
      </c>
      <c r="AA138" s="5" t="str">
        <f t="shared" ca="1" si="21"/>
        <v>No</v>
      </c>
      <c r="AC138" s="5" t="str">
        <f t="shared" si="22"/>
        <v>041591</v>
      </c>
      <c r="AE138" t="s">
        <v>10</v>
      </c>
      <c r="AG138">
        <v>53</v>
      </c>
      <c r="AI138" t="str">
        <f>REPLACE(F137, 1, SEARCH("@", F137), "")</f>
        <v>yahoo.com</v>
      </c>
      <c r="AK138">
        <v>39</v>
      </c>
      <c r="AM138" t="s">
        <v>10</v>
      </c>
    </row>
    <row r="139" spans="1:39" ht="43.2" hidden="1">
      <c r="A139" t="s">
        <v>3548</v>
      </c>
      <c r="B139" t="s">
        <v>880</v>
      </c>
      <c r="C139" s="1">
        <v>21051</v>
      </c>
      <c r="D139" t="s">
        <v>10</v>
      </c>
      <c r="E139">
        <v>6711148375</v>
      </c>
      <c r="F139" t="s">
        <v>881</v>
      </c>
      <c r="G139" s="2" t="s">
        <v>882</v>
      </c>
      <c r="H139">
        <v>4831520377</v>
      </c>
      <c r="I139" t="s">
        <v>883</v>
      </c>
      <c r="J139">
        <v>23</v>
      </c>
      <c r="K139" t="str">
        <f t="shared" ca="1" si="17"/>
        <v>&lt;30</v>
      </c>
      <c r="M139" t="str">
        <v>Veer</v>
      </c>
      <c r="N139" t="str">
        <v>Sarkar</v>
      </c>
      <c r="P139" t="str">
        <v>Veer</v>
      </c>
      <c r="Q139" t="str">
        <v>Sarkar</v>
      </c>
      <c r="S139" t="str" cm="1">
        <f t="array" ref="S139">_xlfn.IFS(OR(D138="M", D138="Male"), "Male", OR(D138="F", D138="Female"), "Female", TRUE, "Other")</f>
        <v>Male</v>
      </c>
      <c r="U139" t="str">
        <f t="shared" si="18"/>
        <v>veer Sarkar</v>
      </c>
      <c r="W139" t="str">
        <f t="shared" si="19"/>
        <v>veer Sarkar</v>
      </c>
      <c r="Y139">
        <f t="shared" ca="1" si="20"/>
        <v>23</v>
      </c>
      <c r="AA139" s="5" t="str">
        <f t="shared" ca="1" si="21"/>
        <v>No</v>
      </c>
      <c r="AC139" s="5" t="str">
        <f t="shared" si="22"/>
        <v>812259</v>
      </c>
      <c r="AE139" t="s">
        <v>15</v>
      </c>
      <c r="AG139">
        <v>23</v>
      </c>
      <c r="AI139" t="str">
        <f>REPLACE(F138, 1, SEARCH("@", F138), "")</f>
        <v>goel.info</v>
      </c>
      <c r="AK139">
        <v>39</v>
      </c>
      <c r="AM139" t="s">
        <v>15</v>
      </c>
    </row>
    <row r="140" spans="1:39" ht="43.2" hidden="1">
      <c r="A140" t="s">
        <v>3549</v>
      </c>
      <c r="B140" t="s">
        <v>884</v>
      </c>
      <c r="C140" s="1">
        <v>24763</v>
      </c>
      <c r="D140" t="s">
        <v>28</v>
      </c>
      <c r="E140">
        <v>6706670336</v>
      </c>
      <c r="F140" t="s">
        <v>885</v>
      </c>
      <c r="G140" s="2" t="s">
        <v>886</v>
      </c>
      <c r="H140">
        <v>6998426732</v>
      </c>
      <c r="I140" t="s">
        <v>887</v>
      </c>
      <c r="J140">
        <v>68</v>
      </c>
      <c r="K140" t="str">
        <f t="shared" ca="1" si="17"/>
        <v>&gt;60</v>
      </c>
      <c r="M140" t="str">
        <v>Nirvaan</v>
      </c>
      <c r="N140" t="str">
        <v>Dhingra</v>
      </c>
      <c r="P140" t="str">
        <v>Nirvaan</v>
      </c>
      <c r="Q140" t="str">
        <v>Dhingra</v>
      </c>
      <c r="S140" t="str" cm="1">
        <f t="array" ref="S140">_xlfn.IFS(OR(D139="M", D139="Male"), "Male", OR(D139="F", D139="Female"), "Female", TRUE, "Other")</f>
        <v>Other</v>
      </c>
      <c r="U140" t="str">
        <f t="shared" si="18"/>
        <v>nirvaan Dhingra</v>
      </c>
      <c r="W140" t="str">
        <f t="shared" si="19"/>
        <v>nirvaan Dhingra</v>
      </c>
      <c r="Y140">
        <f t="shared" ca="1" si="20"/>
        <v>68</v>
      </c>
      <c r="AA140" s="5" t="str">
        <f t="shared" ca="1" si="21"/>
        <v>Yes</v>
      </c>
      <c r="AC140" s="5" t="str">
        <f t="shared" si="22"/>
        <v>413283</v>
      </c>
      <c r="AE140" t="s">
        <v>10</v>
      </c>
      <c r="AG140">
        <v>68</v>
      </c>
      <c r="AI140" t="str">
        <f>REPLACE(F139, 1, SEARCH("@", F139), "")</f>
        <v>sridhar-majumdar.com</v>
      </c>
      <c r="AK140">
        <v>39</v>
      </c>
      <c r="AM140" t="s">
        <v>10</v>
      </c>
    </row>
    <row r="141" spans="1:39" ht="28.8">
      <c r="A141" t="s">
        <v>3550</v>
      </c>
      <c r="B141" t="s">
        <v>892</v>
      </c>
      <c r="C141" s="1">
        <v>28770</v>
      </c>
      <c r="D141" t="s">
        <v>10</v>
      </c>
      <c r="E141">
        <v>5083044058</v>
      </c>
      <c r="F141" t="s">
        <v>893</v>
      </c>
      <c r="G141" s="2" t="s">
        <v>894</v>
      </c>
      <c r="H141">
        <v>5749025042</v>
      </c>
      <c r="I141" t="s">
        <v>895</v>
      </c>
      <c r="J141">
        <f ca="1">DATEDIF(C145, TODAY(), "y")</f>
        <v>49</v>
      </c>
      <c r="K141" t="str">
        <f t="shared" ca="1" si="17"/>
        <v>30-60</v>
      </c>
      <c r="M141" t="str">
        <v>Dharmajan</v>
      </c>
      <c r="N141" t="str">
        <v>Balan</v>
      </c>
      <c r="P141" t="str">
        <v>Dharmajan</v>
      </c>
      <c r="Q141" t="str">
        <v>Balan</v>
      </c>
      <c r="S141" t="str" cm="1">
        <f t="array" ref="S141">_xlfn.IFS(OR(D140="M", D140="Male"), "Male", OR(D140="F", D140="Female"), "Female", TRUE, "Other")</f>
        <v>Female</v>
      </c>
      <c r="U141" t="str">
        <f t="shared" si="18"/>
        <v>dharmajan Balan</v>
      </c>
      <c r="W141" t="str">
        <f t="shared" si="19"/>
        <v>dharmajan Balan</v>
      </c>
      <c r="Y141">
        <f t="shared" ca="1" si="20"/>
        <v>58</v>
      </c>
      <c r="AA141" s="5" t="str">
        <f t="shared" ca="1" si="21"/>
        <v>No</v>
      </c>
      <c r="AC141" s="5" t="str">
        <f t="shared" si="22"/>
        <v>186487</v>
      </c>
      <c r="AE141" t="s">
        <v>28</v>
      </c>
      <c r="AG141">
        <v>58</v>
      </c>
      <c r="AI141" t="str">
        <f>REPLACE(F140, 1, SEARCH("@", F140), "")</f>
        <v>dua.com</v>
      </c>
      <c r="AK141">
        <v>38</v>
      </c>
      <c r="AM141" t="s">
        <v>28</v>
      </c>
    </row>
    <row r="142" spans="1:39" ht="28.8" hidden="1">
      <c r="A142" t="s">
        <v>3551</v>
      </c>
      <c r="B142" t="s">
        <v>718</v>
      </c>
      <c r="C142" s="1">
        <v>30457</v>
      </c>
      <c r="D142" t="s">
        <v>28</v>
      </c>
      <c r="E142">
        <v>5369026113</v>
      </c>
      <c r="F142" t="s">
        <v>896</v>
      </c>
      <c r="G142" s="2" t="s">
        <v>897</v>
      </c>
      <c r="H142">
        <v>7651588157</v>
      </c>
      <c r="I142" t="s">
        <v>898</v>
      </c>
      <c r="J142">
        <v>47</v>
      </c>
      <c r="K142" t="str">
        <f t="shared" ca="1" si="17"/>
        <v>30-60</v>
      </c>
      <c r="M142" t="str">
        <v>Dishani</v>
      </c>
      <c r="N142" t="str">
        <v>Vasa</v>
      </c>
      <c r="P142" t="str">
        <v>Dishani</v>
      </c>
      <c r="Q142" t="str">
        <v>Vasa</v>
      </c>
      <c r="S142" t="str" cm="1">
        <f t="array" ref="S142">_xlfn.IFS(OR(D141="M", D141="Male"), "Male", OR(D141="F", D141="Female"), "Female", TRUE, "Other")</f>
        <v>Other</v>
      </c>
      <c r="U142" t="str">
        <f t="shared" si="18"/>
        <v>dishani Vasa</v>
      </c>
      <c r="W142" t="str">
        <f t="shared" si="19"/>
        <v>dishani Vasa</v>
      </c>
      <c r="Y142">
        <f t="shared" ca="1" si="20"/>
        <v>47</v>
      </c>
      <c r="AA142" s="5" t="str">
        <f t="shared" ca="1" si="21"/>
        <v>No</v>
      </c>
      <c r="AC142" s="5" t="str">
        <f t="shared" si="22"/>
        <v>059556</v>
      </c>
      <c r="AE142" t="s">
        <v>10</v>
      </c>
      <c r="AG142">
        <v>47</v>
      </c>
      <c r="AI142" t="str">
        <f>REPLACE(F141, 1, SEARCH("@", F141), "")</f>
        <v>kulkarni.com</v>
      </c>
      <c r="AK142">
        <v>38</v>
      </c>
      <c r="AM142" t="s">
        <v>10</v>
      </c>
    </row>
    <row r="143" spans="1:39" ht="28.8">
      <c r="A143" t="s">
        <v>3552</v>
      </c>
      <c r="B143" t="s">
        <v>803</v>
      </c>
      <c r="C143" s="1">
        <v>34581</v>
      </c>
      <c r="D143" t="s">
        <v>15</v>
      </c>
      <c r="E143">
        <v>2944551166</v>
      </c>
      <c r="F143" t="s">
        <v>899</v>
      </c>
      <c r="G143" s="2" t="s">
        <v>900</v>
      </c>
      <c r="H143">
        <v>8665268341</v>
      </c>
      <c r="I143" t="s">
        <v>901</v>
      </c>
      <c r="J143">
        <f ca="1">DATEDIF(C147, TODAY(), "y")</f>
        <v>24</v>
      </c>
      <c r="K143" t="str">
        <f t="shared" ca="1" si="17"/>
        <v>30-60</v>
      </c>
      <c r="M143" t="str">
        <v>Vanya</v>
      </c>
      <c r="N143" t="str">
        <v>Shanker</v>
      </c>
      <c r="P143" t="str">
        <v>Vanya</v>
      </c>
      <c r="Q143" t="str">
        <v>Shanker</v>
      </c>
      <c r="S143" t="str" cm="1">
        <f t="array" ref="S143">_xlfn.IFS(OR(D142="M", D142="Male"), "Male", OR(D142="F", D142="Female"), "Female", TRUE, "Other")</f>
        <v>Female</v>
      </c>
      <c r="U143" t="str">
        <f t="shared" si="18"/>
        <v>vanya Shanker</v>
      </c>
      <c r="W143" t="str">
        <f t="shared" si="19"/>
        <v>vanya Shanker</v>
      </c>
      <c r="Y143">
        <f t="shared" ca="1" si="20"/>
        <v>42</v>
      </c>
      <c r="AA143" s="5" t="str">
        <f t="shared" ca="1" si="21"/>
        <v>No</v>
      </c>
      <c r="AC143" s="5" t="str">
        <f t="shared" si="22"/>
        <v>537513</v>
      </c>
      <c r="AE143" t="s">
        <v>28</v>
      </c>
      <c r="AG143">
        <v>42</v>
      </c>
      <c r="AI143" t="str">
        <f>REPLACE(F142, 1, SEARCH("@", F142), "")</f>
        <v>gmail.com</v>
      </c>
      <c r="AK143">
        <v>37</v>
      </c>
      <c r="AM143" t="s">
        <v>28</v>
      </c>
    </row>
    <row r="144" spans="1:39" ht="43.2" hidden="1">
      <c r="A144" t="s">
        <v>3553</v>
      </c>
      <c r="B144" t="s">
        <v>68</v>
      </c>
      <c r="C144" s="1">
        <v>30427</v>
      </c>
      <c r="D144" t="s">
        <v>15</v>
      </c>
      <c r="E144">
        <v>916649690282</v>
      </c>
      <c r="F144" t="s">
        <v>951</v>
      </c>
      <c r="G144" s="2" t="s">
        <v>952</v>
      </c>
      <c r="H144">
        <v>1233613285</v>
      </c>
      <c r="I144" t="s">
        <v>953</v>
      </c>
      <c r="J144">
        <v>31</v>
      </c>
      <c r="K144" t="str">
        <f t="shared" ca="1" si="17"/>
        <v>30-60</v>
      </c>
      <c r="M144" t="str">
        <v>Urvi</v>
      </c>
      <c r="N144" t="str">
        <v>Jani</v>
      </c>
      <c r="P144" t="str">
        <v>Urvi</v>
      </c>
      <c r="Q144" t="str">
        <v>Jani</v>
      </c>
      <c r="S144" t="str" cm="1">
        <f t="array" ref="S144">_xlfn.IFS(OR(D143="M", D143="Male"), "Male", OR(D143="F", D143="Female"), "Female", TRUE, "Other")</f>
        <v>Male</v>
      </c>
      <c r="U144" t="str">
        <f t="shared" si="18"/>
        <v>urvi Jani</v>
      </c>
      <c r="W144" t="str">
        <f t="shared" si="19"/>
        <v>urvi Jani</v>
      </c>
      <c r="Y144">
        <f t="shared" ca="1" si="20"/>
        <v>31</v>
      </c>
      <c r="AA144" s="5" t="str">
        <f t="shared" ca="1" si="21"/>
        <v>No</v>
      </c>
      <c r="AC144" s="5" t="str">
        <f t="shared" si="22"/>
        <v>602128</v>
      </c>
      <c r="AE144" t="s">
        <v>15</v>
      </c>
      <c r="AG144">
        <v>31</v>
      </c>
      <c r="AI144" t="str">
        <f>REPLACE(F143, 1, SEARCH("@", F143), "")</f>
        <v>yogi.info</v>
      </c>
      <c r="AK144">
        <v>37</v>
      </c>
      <c r="AM144" t="s">
        <v>15</v>
      </c>
    </row>
    <row r="145" spans="1:39" ht="43.2" hidden="1">
      <c r="A145" t="s">
        <v>3554</v>
      </c>
      <c r="B145" t="s">
        <v>977</v>
      </c>
      <c r="C145" s="1">
        <v>28218</v>
      </c>
      <c r="D145" t="s">
        <v>15</v>
      </c>
      <c r="E145">
        <v>6309329981</v>
      </c>
      <c r="F145" t="s">
        <v>978</v>
      </c>
      <c r="G145" s="2" t="s">
        <v>979</v>
      </c>
      <c r="H145">
        <v>2410397739</v>
      </c>
      <c r="I145" t="s">
        <v>980</v>
      </c>
      <c r="J145">
        <v>42</v>
      </c>
      <c r="K145" t="str">
        <f t="shared" ca="1" si="17"/>
        <v>30-60</v>
      </c>
      <c r="M145" t="str">
        <v>Mehul</v>
      </c>
      <c r="N145" t="str">
        <v>Singh</v>
      </c>
      <c r="P145" t="str">
        <v>Mehul</v>
      </c>
      <c r="Q145" t="str">
        <v>Singh</v>
      </c>
      <c r="S145" t="str" cm="1">
        <f t="array" ref="S145">_xlfn.IFS(OR(D144="M", D144="Male"), "Male", OR(D144="F", D144="Female"), "Female", TRUE, "Other")</f>
        <v>Male</v>
      </c>
      <c r="U145" t="str">
        <f t="shared" si="18"/>
        <v>mehul Singh</v>
      </c>
      <c r="W145" t="str">
        <f t="shared" si="19"/>
        <v>mehul Singh</v>
      </c>
      <c r="Y145">
        <f t="shared" ca="1" si="20"/>
        <v>42</v>
      </c>
      <c r="AA145" s="5" t="str">
        <f t="shared" ca="1" si="21"/>
        <v>No</v>
      </c>
      <c r="AC145" s="5" t="str">
        <f t="shared" si="22"/>
        <v>023244</v>
      </c>
      <c r="AE145" t="s">
        <v>15</v>
      </c>
      <c r="AG145">
        <v>42</v>
      </c>
      <c r="AI145" t="str">
        <f>REPLACE(F144, 1, SEARCH("@", F144), "")</f>
        <v>gmail.com</v>
      </c>
      <c r="AK145">
        <v>36</v>
      </c>
      <c r="AM145" t="s">
        <v>15</v>
      </c>
    </row>
    <row r="146" spans="1:39" ht="28.8" hidden="1">
      <c r="A146" t="s">
        <v>3555</v>
      </c>
      <c r="B146" t="s">
        <v>991</v>
      </c>
      <c r="C146" s="1">
        <v>24432</v>
      </c>
      <c r="D146" t="s">
        <v>15</v>
      </c>
      <c r="E146">
        <v>4131284033</v>
      </c>
      <c r="F146" t="s">
        <v>992</v>
      </c>
      <c r="G146" s="2" t="s">
        <v>993</v>
      </c>
      <c r="H146">
        <v>6173997046</v>
      </c>
      <c r="I146" t="s">
        <v>994</v>
      </c>
      <c r="J146">
        <v>49</v>
      </c>
      <c r="K146" t="str">
        <f t="shared" ca="1" si="17"/>
        <v>30-60</v>
      </c>
      <c r="M146" t="str">
        <v>Kavya</v>
      </c>
      <c r="N146" t="str">
        <v>Sachdeva</v>
      </c>
      <c r="P146" t="str">
        <v>Kavya</v>
      </c>
      <c r="Q146" t="str">
        <v>Sachdeva</v>
      </c>
      <c r="S146" t="str" cm="1">
        <f t="array" ref="S146">_xlfn.IFS(OR(D145="M", D145="Male"), "Male", OR(D145="F", D145="Female"), "Female", TRUE, "Other")</f>
        <v>Male</v>
      </c>
      <c r="U146" t="str">
        <f t="shared" si="18"/>
        <v>kavya Sachdeva</v>
      </c>
      <c r="W146" t="str">
        <f t="shared" si="19"/>
        <v>kavya Sachdeva</v>
      </c>
      <c r="Y146">
        <f t="shared" ca="1" si="20"/>
        <v>49</v>
      </c>
      <c r="AA146" s="5" t="str">
        <f t="shared" ca="1" si="21"/>
        <v>No</v>
      </c>
      <c r="AC146" s="5" t="str">
        <f t="shared" si="22"/>
        <v>532735</v>
      </c>
      <c r="AE146" t="s">
        <v>15</v>
      </c>
      <c r="AG146">
        <v>49</v>
      </c>
      <c r="AI146" t="str">
        <f>REPLACE(F145, 1, SEARCH("@", F145), "")</f>
        <v>gmail.com</v>
      </c>
      <c r="AK146">
        <v>36</v>
      </c>
      <c r="AM146" t="s">
        <v>15</v>
      </c>
    </row>
    <row r="147" spans="1:39" ht="28.8" hidden="1">
      <c r="A147" t="s">
        <v>3556</v>
      </c>
      <c r="B147" t="s">
        <v>319</v>
      </c>
      <c r="C147" s="1">
        <v>37207</v>
      </c>
      <c r="D147" t="s">
        <v>15</v>
      </c>
      <c r="E147">
        <v>4347452455</v>
      </c>
      <c r="F147" t="s">
        <v>999</v>
      </c>
      <c r="G147" s="2" t="s">
        <v>1000</v>
      </c>
      <c r="H147">
        <v>566588339</v>
      </c>
      <c r="I147" t="s">
        <v>1001</v>
      </c>
      <c r="J147">
        <v>59</v>
      </c>
      <c r="K147" t="str">
        <f t="shared" ca="1" si="17"/>
        <v>30-60</v>
      </c>
      <c r="M147" t="str">
        <v>Arnav</v>
      </c>
      <c r="N147" t="str">
        <v>Ramanathan</v>
      </c>
      <c r="P147" t="str">
        <v>Arnav</v>
      </c>
      <c r="Q147" t="str">
        <v>Ramanathan</v>
      </c>
      <c r="S147" t="str" cm="1">
        <f t="array" ref="S147">_xlfn.IFS(OR(D146="M", D146="Male"), "Male", OR(D146="F", D146="Female"), "Female", TRUE, "Other")</f>
        <v>Male</v>
      </c>
      <c r="U147" t="str">
        <f t="shared" si="18"/>
        <v>arnav Ramanathan</v>
      </c>
      <c r="W147" t="str">
        <f t="shared" si="19"/>
        <v>arnav Ramanathan</v>
      </c>
      <c r="Y147">
        <f t="shared" ca="1" si="20"/>
        <v>59</v>
      </c>
      <c r="AA147" s="5" t="str">
        <f t="shared" ca="1" si="21"/>
        <v>No</v>
      </c>
      <c r="AC147" s="5" t="str">
        <f t="shared" si="22"/>
        <v>974909</v>
      </c>
      <c r="AE147" t="s">
        <v>15</v>
      </c>
      <c r="AG147">
        <v>59</v>
      </c>
      <c r="AI147" t="str">
        <f>REPLACE(F146, 1, SEARCH("@", F146), "")</f>
        <v>wadhwa.com</v>
      </c>
      <c r="AK147">
        <v>36</v>
      </c>
      <c r="AM147" t="s">
        <v>15</v>
      </c>
    </row>
    <row r="148" spans="1:39" ht="28.8" hidden="1">
      <c r="A148" t="s">
        <v>3557</v>
      </c>
      <c r="B148" t="s">
        <v>1014</v>
      </c>
      <c r="C148" s="1">
        <v>19050</v>
      </c>
      <c r="D148" t="s">
        <v>28</v>
      </c>
      <c r="E148">
        <v>7633691128</v>
      </c>
      <c r="F148" t="s">
        <v>1015</v>
      </c>
      <c r="G148" s="2" t="s">
        <v>1016</v>
      </c>
      <c r="H148">
        <v>6615541643</v>
      </c>
      <c r="I148" t="s">
        <v>1017</v>
      </c>
      <c r="J148">
        <v>24</v>
      </c>
      <c r="K148" t="str">
        <f t="shared" ca="1" si="17"/>
        <v>&lt;30</v>
      </c>
      <c r="M148" t="str">
        <v>Vedika</v>
      </c>
      <c r="N148" t="str">
        <v>Joshi</v>
      </c>
      <c r="P148" t="str">
        <v>Vedika</v>
      </c>
      <c r="Q148" t="str">
        <v>Joshi</v>
      </c>
      <c r="S148" t="str" cm="1">
        <f t="array" ref="S148">_xlfn.IFS(OR(D147="M", D147="Male"), "Male", OR(D147="F", D147="Female"), "Female", TRUE, "Other")</f>
        <v>Male</v>
      </c>
      <c r="U148" t="str">
        <f t="shared" si="18"/>
        <v>vedika Joshi</v>
      </c>
      <c r="W148" t="str">
        <f t="shared" si="19"/>
        <v>vedika Joshi</v>
      </c>
      <c r="Y148">
        <f t="shared" ca="1" si="20"/>
        <v>24</v>
      </c>
      <c r="AA148" s="5" t="str">
        <f t="shared" ca="1" si="21"/>
        <v>No</v>
      </c>
      <c r="AC148" s="5" t="str">
        <f t="shared" si="22"/>
        <v>033445</v>
      </c>
      <c r="AE148" t="s">
        <v>15</v>
      </c>
      <c r="AG148">
        <v>24</v>
      </c>
      <c r="AI148" t="str">
        <f>REPLACE(F147, 1, SEARCH("@", F147), "")</f>
        <v>hotmail.com</v>
      </c>
      <c r="AK148">
        <v>36</v>
      </c>
      <c r="AM148" t="s">
        <v>15</v>
      </c>
    </row>
    <row r="149" spans="1:39">
      <c r="A149" t="s">
        <v>3558</v>
      </c>
      <c r="B149" t="s">
        <v>1035</v>
      </c>
      <c r="C149" s="1">
        <v>37552</v>
      </c>
      <c r="D149" t="s">
        <v>10</v>
      </c>
      <c r="E149">
        <v>1911359966</v>
      </c>
      <c r="F149" t="s">
        <v>1039</v>
      </c>
      <c r="G149" t="s">
        <v>1040</v>
      </c>
      <c r="H149">
        <v>4705742388</v>
      </c>
      <c r="I149" t="s">
        <v>1041</v>
      </c>
      <c r="J149">
        <f ca="1">DATEDIF(C153, TODAY(), "y")</f>
        <v>31</v>
      </c>
      <c r="K149" t="str">
        <f t="shared" ca="1" si="17"/>
        <v>&gt;60</v>
      </c>
      <c r="M149" t="str">
        <v>Lakshay</v>
      </c>
      <c r="N149" t="str">
        <v>Gupta</v>
      </c>
      <c r="P149" t="str">
        <v>Lakshay</v>
      </c>
      <c r="Q149" t="str">
        <v>Gupta</v>
      </c>
      <c r="S149" t="str" cm="1">
        <f t="array" ref="S149">_xlfn.IFS(OR(D148="M", D148="Male"), "Male", OR(D148="F", D148="Female"), "Female", TRUE, "Other")</f>
        <v>Female</v>
      </c>
      <c r="U149" t="str">
        <f t="shared" si="18"/>
        <v>lakshay Gupta</v>
      </c>
      <c r="W149" t="str">
        <f t="shared" si="19"/>
        <v>lakshay Gupta</v>
      </c>
      <c r="Y149">
        <f t="shared" ca="1" si="20"/>
        <v>74</v>
      </c>
      <c r="AA149" s="5" t="str">
        <f t="shared" ca="1" si="21"/>
        <v>Yes</v>
      </c>
      <c r="AC149" s="5" t="str">
        <f t="shared" si="22"/>
        <v>817006</v>
      </c>
      <c r="AE149" t="s">
        <v>28</v>
      </c>
      <c r="AG149">
        <v>74</v>
      </c>
      <c r="AI149" t="str">
        <f>REPLACE(F148, 1, SEARCH("@", F148), "")</f>
        <v>konda.org</v>
      </c>
      <c r="AK149">
        <v>35</v>
      </c>
      <c r="AM149" t="s">
        <v>28</v>
      </c>
    </row>
    <row r="150" spans="1:39" ht="28.8" hidden="1">
      <c r="A150" t="s">
        <v>3559</v>
      </c>
      <c r="B150" t="s">
        <v>1048</v>
      </c>
      <c r="C150" s="1">
        <v>31133</v>
      </c>
      <c r="D150" t="s">
        <v>28</v>
      </c>
      <c r="E150">
        <v>1935837490</v>
      </c>
      <c r="F150" t="s">
        <v>1049</v>
      </c>
      <c r="G150" s="2" t="s">
        <v>1050</v>
      </c>
      <c r="H150">
        <v>976263748</v>
      </c>
      <c r="I150" t="s">
        <v>1051</v>
      </c>
      <c r="J150">
        <v>23</v>
      </c>
      <c r="K150" t="str">
        <f t="shared" ca="1" si="17"/>
        <v>&lt;30</v>
      </c>
      <c r="M150" t="str">
        <v>Kiara</v>
      </c>
      <c r="N150" t="str">
        <v>Tripathi</v>
      </c>
      <c r="P150" t="str">
        <v>Kiara</v>
      </c>
      <c r="Q150" t="str">
        <v>Tripathi</v>
      </c>
      <c r="S150" t="str" cm="1">
        <f t="array" ref="S150">_xlfn.IFS(OR(D149="M", D149="Male"), "Male", OR(D149="F", D149="Female"), "Female", TRUE, "Other")</f>
        <v>Other</v>
      </c>
      <c r="U150" t="str">
        <f t="shared" si="18"/>
        <v>kiara Tripathi</v>
      </c>
      <c r="W150" t="str">
        <f t="shared" si="19"/>
        <v>kiara Tripathi</v>
      </c>
      <c r="Y150">
        <f t="shared" ca="1" si="20"/>
        <v>23</v>
      </c>
      <c r="AA150" s="5" t="str">
        <f t="shared" ca="1" si="21"/>
        <v>No</v>
      </c>
      <c r="AC150" s="5" t="str">
        <f t="shared" si="22"/>
        <v>745553</v>
      </c>
      <c r="AE150" t="s">
        <v>10</v>
      </c>
      <c r="AG150">
        <v>23</v>
      </c>
      <c r="AI150" t="str">
        <f>REPLACE(F149, 1, SEARCH("@", F149), "")</f>
        <v>venkatesh.biz</v>
      </c>
      <c r="AK150">
        <v>35</v>
      </c>
      <c r="AM150" t="s">
        <v>10</v>
      </c>
    </row>
    <row r="151" spans="1:39" ht="28.8">
      <c r="A151" t="s">
        <v>3560</v>
      </c>
      <c r="B151" t="s">
        <v>230</v>
      </c>
      <c r="C151" s="1">
        <v>36986</v>
      </c>
      <c r="D151" t="s">
        <v>15</v>
      </c>
      <c r="E151">
        <v>803149982</v>
      </c>
      <c r="F151" t="s">
        <v>1062</v>
      </c>
      <c r="G151" s="2" t="s">
        <v>1063</v>
      </c>
      <c r="H151">
        <v>5137399006</v>
      </c>
      <c r="I151" t="s">
        <v>1064</v>
      </c>
      <c r="J151">
        <f ca="1">DATEDIF(C155, TODAY(), "y")</f>
        <v>54</v>
      </c>
      <c r="K151" t="str">
        <f t="shared" ca="1" si="17"/>
        <v>30-60</v>
      </c>
      <c r="M151" t="str">
        <v>Rhea</v>
      </c>
      <c r="N151" t="str">
        <v>Khanna</v>
      </c>
      <c r="P151" t="str">
        <v>Rhea</v>
      </c>
      <c r="Q151" t="str">
        <v>Khanna</v>
      </c>
      <c r="S151" t="str" cm="1">
        <f t="array" ref="S151">_xlfn.IFS(OR(D150="M", D150="Male"), "Male", OR(D150="F", D150="Female"), "Female", TRUE, "Other")</f>
        <v>Female</v>
      </c>
      <c r="U151" t="str">
        <f t="shared" si="18"/>
        <v>rhea Khanna</v>
      </c>
      <c r="W151" t="str">
        <f t="shared" si="19"/>
        <v>rhea Khanna</v>
      </c>
      <c r="Y151">
        <f t="shared" ca="1" si="20"/>
        <v>41</v>
      </c>
      <c r="AA151" s="5" t="str">
        <f t="shared" ca="1" si="21"/>
        <v>No</v>
      </c>
      <c r="AC151" s="5" t="str">
        <f t="shared" si="22"/>
        <v>151494</v>
      </c>
      <c r="AE151" t="s">
        <v>28</v>
      </c>
      <c r="AG151">
        <v>41</v>
      </c>
      <c r="AI151" t="str">
        <f>REPLACE(F150, 1, SEARCH("@", F150), "")</f>
        <v>yahoo.com</v>
      </c>
      <c r="AK151">
        <v>34</v>
      </c>
      <c r="AM151" t="s">
        <v>28</v>
      </c>
    </row>
    <row r="152" spans="1:39" ht="43.2" hidden="1">
      <c r="A152" t="s">
        <v>3561</v>
      </c>
      <c r="B152" t="s">
        <v>969</v>
      </c>
      <c r="C152" s="1">
        <v>19236</v>
      </c>
      <c r="D152" t="s">
        <v>10</v>
      </c>
      <c r="E152">
        <v>911688092550</v>
      </c>
      <c r="F152" t="s">
        <v>1072</v>
      </c>
      <c r="G152" s="2" t="s">
        <v>1073</v>
      </c>
      <c r="H152">
        <v>9457727853</v>
      </c>
      <c r="I152" t="s">
        <v>1074</v>
      </c>
      <c r="J152">
        <v>25</v>
      </c>
      <c r="K152" t="str">
        <f t="shared" ca="1" si="17"/>
        <v>&lt;30</v>
      </c>
      <c r="M152" t="str">
        <v>Trisha</v>
      </c>
      <c r="N152" t="str">
        <v>Dhawan</v>
      </c>
      <c r="P152" t="str">
        <v>Trisha</v>
      </c>
      <c r="Q152" t="str">
        <v>Dhawan</v>
      </c>
      <c r="S152" t="str" cm="1">
        <f t="array" ref="S152">_xlfn.IFS(OR(D151="M", D151="Male"), "Male", OR(D151="F", D151="Female"), "Female", TRUE, "Other")</f>
        <v>Male</v>
      </c>
      <c r="U152" t="str">
        <f t="shared" si="18"/>
        <v>trisha Dhawan</v>
      </c>
      <c r="W152" t="str">
        <f t="shared" si="19"/>
        <v>trisha Dhawan</v>
      </c>
      <c r="Y152">
        <f t="shared" ca="1" si="20"/>
        <v>25</v>
      </c>
      <c r="AA152" s="5" t="str">
        <f t="shared" ca="1" si="21"/>
        <v>No</v>
      </c>
      <c r="AC152" s="5" t="str">
        <f t="shared" si="22"/>
        <v>031723</v>
      </c>
      <c r="AE152" t="s">
        <v>15</v>
      </c>
      <c r="AG152">
        <v>25</v>
      </c>
      <c r="AI152" t="str">
        <f>REPLACE(F151, 1, SEARCH("@", F151), "")</f>
        <v>gmail.com</v>
      </c>
      <c r="AK152">
        <v>34</v>
      </c>
      <c r="AM152" t="s">
        <v>15</v>
      </c>
    </row>
    <row r="153" spans="1:39" ht="28.8" hidden="1">
      <c r="A153" t="s">
        <v>3562</v>
      </c>
      <c r="B153" t="s">
        <v>516</v>
      </c>
      <c r="C153" s="1">
        <v>34452</v>
      </c>
      <c r="D153" t="s">
        <v>10</v>
      </c>
      <c r="E153">
        <v>915415970996</v>
      </c>
      <c r="F153" t="s">
        <v>1086</v>
      </c>
      <c r="G153" s="2" t="s">
        <v>1087</v>
      </c>
      <c r="H153">
        <v>2909046376</v>
      </c>
      <c r="I153" t="s">
        <v>1088</v>
      </c>
      <c r="J153">
        <v>73</v>
      </c>
      <c r="K153" t="str">
        <f t="shared" ca="1" si="17"/>
        <v>&gt;60</v>
      </c>
      <c r="M153" t="str">
        <v>Ira</v>
      </c>
      <c r="N153" t="str">
        <v>Dutt</v>
      </c>
      <c r="P153" t="str">
        <v>Ira</v>
      </c>
      <c r="Q153" t="str">
        <v>Dutt</v>
      </c>
      <c r="S153" t="str" cm="1">
        <f t="array" ref="S153">_xlfn.IFS(OR(D152="M", D152="Male"), "Male", OR(D152="F", D152="Female"), "Female", TRUE, "Other")</f>
        <v>Other</v>
      </c>
      <c r="U153" t="str">
        <f t="shared" si="18"/>
        <v>ira Dutt</v>
      </c>
      <c r="W153" t="str">
        <f t="shared" si="19"/>
        <v>ira Dutt</v>
      </c>
      <c r="Y153">
        <f t="shared" ca="1" si="20"/>
        <v>73</v>
      </c>
      <c r="AA153" s="5" t="str">
        <f t="shared" ca="1" si="21"/>
        <v>Yes</v>
      </c>
      <c r="AC153" s="5" t="str">
        <f t="shared" si="22"/>
        <v>496737</v>
      </c>
      <c r="AE153" t="s">
        <v>10</v>
      </c>
      <c r="AG153">
        <v>73</v>
      </c>
      <c r="AI153" t="str">
        <f>REPLACE(F152, 1, SEARCH("@", F152), "")</f>
        <v>halder.org</v>
      </c>
      <c r="AK153">
        <v>33</v>
      </c>
      <c r="AM153" t="s">
        <v>10</v>
      </c>
    </row>
    <row r="154" spans="1:39" hidden="1">
      <c r="A154" t="s">
        <v>3563</v>
      </c>
      <c r="B154" t="s">
        <v>1099</v>
      </c>
      <c r="C154" s="1">
        <v>32564</v>
      </c>
      <c r="D154" t="s">
        <v>15</v>
      </c>
      <c r="E154">
        <v>913106724530</v>
      </c>
      <c r="F154" t="s">
        <v>1100</v>
      </c>
      <c r="G154" t="s">
        <v>1101</v>
      </c>
      <c r="H154">
        <v>4238736704</v>
      </c>
      <c r="I154" t="s">
        <v>1102</v>
      </c>
      <c r="J154">
        <v>31</v>
      </c>
      <c r="K154" t="str">
        <f t="shared" ca="1" si="17"/>
        <v>30-60</v>
      </c>
      <c r="M154" t="str">
        <v>Faiyaz</v>
      </c>
      <c r="N154" t="str">
        <v>Subramanian</v>
      </c>
      <c r="P154" t="str">
        <v>Faiyaz</v>
      </c>
      <c r="Q154" t="str">
        <v>Subramanian</v>
      </c>
      <c r="S154" t="str" cm="1">
        <f t="array" ref="S154">_xlfn.IFS(OR(D153="M", D153="Male"), "Male", OR(D153="F", D153="Female"), "Female", TRUE, "Other")</f>
        <v>Other</v>
      </c>
      <c r="U154" t="str">
        <f t="shared" si="18"/>
        <v>faiyaz Subramanian</v>
      </c>
      <c r="W154" t="str">
        <f t="shared" si="19"/>
        <v>faiyaz Subramanian</v>
      </c>
      <c r="Y154">
        <f t="shared" ca="1" si="20"/>
        <v>31</v>
      </c>
      <c r="AA154" s="5" t="str">
        <f t="shared" ca="1" si="21"/>
        <v>No</v>
      </c>
      <c r="AC154" s="5" t="str">
        <f t="shared" si="22"/>
        <v>471580</v>
      </c>
      <c r="AE154" t="s">
        <v>10</v>
      </c>
      <c r="AG154">
        <v>31</v>
      </c>
      <c r="AI154" t="str">
        <f>REPLACE(F153, 1, SEARCH("@", F153), "")</f>
        <v>lad-zacharia.com</v>
      </c>
      <c r="AK154">
        <v>33</v>
      </c>
      <c r="AM154" t="s">
        <v>10</v>
      </c>
    </row>
    <row r="155" spans="1:39" ht="28.8" hidden="1">
      <c r="A155" t="s">
        <v>3564</v>
      </c>
      <c r="B155" t="s">
        <v>1103</v>
      </c>
      <c r="C155" s="1">
        <v>26305</v>
      </c>
      <c r="D155" t="s">
        <v>15</v>
      </c>
      <c r="E155">
        <v>5259710756</v>
      </c>
      <c r="F155" t="s">
        <v>1104</v>
      </c>
      <c r="G155" s="2" t="s">
        <v>1105</v>
      </c>
      <c r="H155">
        <v>6295187794</v>
      </c>
      <c r="I155" t="s">
        <v>1106</v>
      </c>
      <c r="J155">
        <v>37</v>
      </c>
      <c r="K155" t="str">
        <f t="shared" ca="1" si="17"/>
        <v>30-60</v>
      </c>
      <c r="M155" t="str">
        <v>Jayant</v>
      </c>
      <c r="N155" t="str">
        <v>Borra</v>
      </c>
      <c r="P155" t="str">
        <v>Jayant</v>
      </c>
      <c r="Q155" t="str">
        <v>Borra</v>
      </c>
      <c r="S155" t="str" cm="1">
        <f t="array" ref="S155">_xlfn.IFS(OR(D154="M", D154="Male"), "Male", OR(D154="F", D154="Female"), "Female", TRUE, "Other")</f>
        <v>Male</v>
      </c>
      <c r="U155" t="str">
        <f t="shared" si="18"/>
        <v>jayant Borra</v>
      </c>
      <c r="W155" t="str">
        <f t="shared" si="19"/>
        <v>jayant Borra</v>
      </c>
      <c r="Y155">
        <f t="shared" ca="1" si="20"/>
        <v>37</v>
      </c>
      <c r="AA155" s="5" t="str">
        <f t="shared" ca="1" si="21"/>
        <v>No</v>
      </c>
      <c r="AC155" s="5" t="str">
        <f t="shared" si="22"/>
        <v>511579</v>
      </c>
      <c r="AE155" t="s">
        <v>15</v>
      </c>
      <c r="AG155">
        <v>37</v>
      </c>
      <c r="AI155" t="str">
        <f>REPLACE(F154, 1, SEARCH("@", F154), "")</f>
        <v>hotmail.com</v>
      </c>
      <c r="AK155">
        <v>33</v>
      </c>
      <c r="AM155" t="s">
        <v>15</v>
      </c>
    </row>
    <row r="156" spans="1:39" ht="28.8" hidden="1">
      <c r="A156" t="s">
        <v>3565</v>
      </c>
      <c r="B156" t="s">
        <v>148</v>
      </c>
      <c r="C156" s="1">
        <v>37158</v>
      </c>
      <c r="D156" t="s">
        <v>10</v>
      </c>
      <c r="E156">
        <v>917330559782</v>
      </c>
      <c r="F156" t="s">
        <v>1107</v>
      </c>
      <c r="G156" s="2" t="s">
        <v>1108</v>
      </c>
      <c r="H156">
        <v>4006157276</v>
      </c>
      <c r="I156" t="s">
        <v>1109</v>
      </c>
      <c r="J156">
        <v>54</v>
      </c>
      <c r="K156" t="str">
        <f t="shared" ca="1" si="17"/>
        <v>30-60</v>
      </c>
      <c r="M156" t="str">
        <v>Eva</v>
      </c>
      <c r="N156" t="str">
        <v>Dhaliwal</v>
      </c>
      <c r="P156" t="str">
        <v>Eva</v>
      </c>
      <c r="Q156" t="str">
        <v>Dhaliwal</v>
      </c>
      <c r="S156" t="str" cm="1">
        <f t="array" ref="S156">_xlfn.IFS(OR(D155="M", D155="Male"), "Male", OR(D155="F", D155="Female"), "Female", TRUE, "Other")</f>
        <v>Male</v>
      </c>
      <c r="U156" t="str">
        <f t="shared" si="18"/>
        <v>eva Dhaliwal</v>
      </c>
      <c r="W156" t="str">
        <f t="shared" si="19"/>
        <v>eva Dhaliwal</v>
      </c>
      <c r="Y156">
        <f t="shared" ca="1" si="20"/>
        <v>54</v>
      </c>
      <c r="AA156" s="5" t="str">
        <f t="shared" ca="1" si="21"/>
        <v>No</v>
      </c>
      <c r="AC156" s="5" t="str">
        <f t="shared" si="22"/>
        <v>970581</v>
      </c>
      <c r="AE156" t="s">
        <v>15</v>
      </c>
      <c r="AG156">
        <v>54</v>
      </c>
      <c r="AI156" t="str">
        <f>REPLACE(F155, 1, SEARCH("@", F155), "")</f>
        <v>viswanathan.info</v>
      </c>
      <c r="AK156">
        <v>32</v>
      </c>
      <c r="AM156" t="s">
        <v>15</v>
      </c>
    </row>
    <row r="157" spans="1:39" ht="28.8" hidden="1">
      <c r="A157" t="s">
        <v>3566</v>
      </c>
      <c r="B157" t="s">
        <v>108</v>
      </c>
      <c r="C157" s="1">
        <v>36017</v>
      </c>
      <c r="D157" t="s">
        <v>15</v>
      </c>
      <c r="E157">
        <v>8686395613</v>
      </c>
      <c r="F157" t="s">
        <v>1130</v>
      </c>
      <c r="G157" s="2" t="s">
        <v>1131</v>
      </c>
      <c r="H157">
        <v>4132114716</v>
      </c>
      <c r="I157" t="s">
        <v>1132</v>
      </c>
      <c r="J157">
        <v>24</v>
      </c>
      <c r="K157" t="str">
        <f t="shared" ca="1" si="17"/>
        <v>&lt;30</v>
      </c>
      <c r="M157" t="str">
        <v>Tejas</v>
      </c>
      <c r="N157" t="str">
        <v>Vala</v>
      </c>
      <c r="P157" t="str">
        <v>Tejas</v>
      </c>
      <c r="Q157" t="str">
        <v>Vala</v>
      </c>
      <c r="S157" t="str" cm="1">
        <f t="array" ref="S157">_xlfn.IFS(OR(D156="M", D156="Male"), "Male", OR(D156="F", D156="Female"), "Female", TRUE, "Other")</f>
        <v>Other</v>
      </c>
      <c r="U157" t="str">
        <f t="shared" si="18"/>
        <v>tejas Vala</v>
      </c>
      <c r="W157" t="str">
        <f t="shared" si="19"/>
        <v>tejas Vala</v>
      </c>
      <c r="Y157">
        <f t="shared" ca="1" si="20"/>
        <v>24</v>
      </c>
      <c r="AA157" s="5" t="str">
        <f t="shared" ca="1" si="21"/>
        <v>No</v>
      </c>
      <c r="AC157" s="5" t="str">
        <f t="shared" si="22"/>
        <v>604432</v>
      </c>
      <c r="AE157" t="s">
        <v>10</v>
      </c>
      <c r="AG157">
        <v>24</v>
      </c>
      <c r="AI157" t="str">
        <f>REPLACE(F156, 1, SEARCH("@", F156), "")</f>
        <v>hotmail.com</v>
      </c>
      <c r="AK157">
        <v>32</v>
      </c>
      <c r="AM157" t="s">
        <v>10</v>
      </c>
    </row>
    <row r="158" spans="1:39" ht="28.8" hidden="1">
      <c r="A158" t="s">
        <v>3567</v>
      </c>
      <c r="B158" t="s">
        <v>376</v>
      </c>
      <c r="C158" s="1">
        <v>18415</v>
      </c>
      <c r="D158" t="s">
        <v>10</v>
      </c>
      <c r="E158">
        <v>7560858167</v>
      </c>
      <c r="F158" t="s">
        <v>1140</v>
      </c>
      <c r="G158" s="2" t="s">
        <v>1141</v>
      </c>
      <c r="H158">
        <v>8471296180</v>
      </c>
      <c r="I158" t="s">
        <v>1142</v>
      </c>
      <c r="J158">
        <v>27</v>
      </c>
      <c r="K158" t="str">
        <f t="shared" ca="1" si="17"/>
        <v>&lt;30</v>
      </c>
      <c r="M158" t="str">
        <v>Farhan</v>
      </c>
      <c r="N158" t="str">
        <v>Gaba</v>
      </c>
      <c r="P158" t="str">
        <v>Farhan</v>
      </c>
      <c r="Q158" t="str">
        <v>Gaba</v>
      </c>
      <c r="S158" t="str" cm="1">
        <f t="array" ref="S158">_xlfn.IFS(OR(D157="M", D157="Male"), "Male", OR(D157="F", D157="Female"), "Female", TRUE, "Other")</f>
        <v>Male</v>
      </c>
      <c r="U158" t="str">
        <f t="shared" si="18"/>
        <v>farhan Gaba</v>
      </c>
      <c r="W158" t="str">
        <f t="shared" si="19"/>
        <v>farhan Gaba</v>
      </c>
      <c r="Y158">
        <f t="shared" ca="1" si="20"/>
        <v>27</v>
      </c>
      <c r="AA158" s="5" t="str">
        <f t="shared" ca="1" si="21"/>
        <v>No</v>
      </c>
      <c r="AC158" s="5" t="str">
        <f t="shared" si="22"/>
        <v>813000</v>
      </c>
      <c r="AE158" t="s">
        <v>15</v>
      </c>
      <c r="AG158">
        <v>27</v>
      </c>
      <c r="AI158" t="str">
        <f>REPLACE(F157, 1, SEARCH("@", F157), "")</f>
        <v>gmail.com</v>
      </c>
      <c r="AK158">
        <v>32</v>
      </c>
      <c r="AM158" t="s">
        <v>15</v>
      </c>
    </row>
    <row r="159" spans="1:39" hidden="1">
      <c r="A159" t="s">
        <v>3568</v>
      </c>
      <c r="B159" t="s">
        <v>60</v>
      </c>
      <c r="C159" s="1">
        <v>38615</v>
      </c>
      <c r="D159" t="s">
        <v>15</v>
      </c>
      <c r="E159">
        <v>912798623984</v>
      </c>
      <c r="F159" t="s">
        <v>1146</v>
      </c>
      <c r="G159" t="s">
        <v>1147</v>
      </c>
      <c r="H159">
        <v>8769899927</v>
      </c>
      <c r="I159" t="s">
        <v>1148</v>
      </c>
      <c r="J159">
        <v>75</v>
      </c>
      <c r="K159" t="str">
        <f t="shared" ca="1" si="17"/>
        <v>&gt;60</v>
      </c>
      <c r="M159" t="str">
        <v>Lavanya</v>
      </c>
      <c r="N159" t="str">
        <v>Manda</v>
      </c>
      <c r="P159" t="str">
        <v>Lavanya</v>
      </c>
      <c r="Q159" t="str">
        <v>Manda</v>
      </c>
      <c r="S159" t="str" cm="1">
        <f t="array" ref="S159">_xlfn.IFS(OR(D158="M", D158="Male"), "Male", OR(D158="F", D158="Female"), "Female", TRUE, "Other")</f>
        <v>Other</v>
      </c>
      <c r="U159" t="str">
        <f t="shared" si="18"/>
        <v>lavanya Manda</v>
      </c>
      <c r="W159" t="str">
        <f t="shared" si="19"/>
        <v>lavanya Manda</v>
      </c>
      <c r="Y159">
        <f t="shared" ca="1" si="20"/>
        <v>75</v>
      </c>
      <c r="AA159" s="5" t="str">
        <f t="shared" ca="1" si="21"/>
        <v>Yes</v>
      </c>
      <c r="AC159" s="5" t="str">
        <f t="shared" si="22"/>
        <v>923785</v>
      </c>
      <c r="AE159" t="s">
        <v>10</v>
      </c>
      <c r="AG159">
        <v>75</v>
      </c>
      <c r="AI159" t="str">
        <f>REPLACE(F158, 1, SEARCH("@", F158), "")</f>
        <v>bali.com</v>
      </c>
      <c r="AK159">
        <v>31</v>
      </c>
      <c r="AM159" t="s">
        <v>10</v>
      </c>
    </row>
    <row r="160" spans="1:39" ht="43.2" hidden="1">
      <c r="A160" t="s">
        <v>3569</v>
      </c>
      <c r="B160" t="s">
        <v>1162</v>
      </c>
      <c r="C160" s="1">
        <v>28895</v>
      </c>
      <c r="D160" t="s">
        <v>15</v>
      </c>
      <c r="E160">
        <v>1645345472</v>
      </c>
      <c r="F160" t="s">
        <v>1163</v>
      </c>
      <c r="G160" s="2" t="s">
        <v>1164</v>
      </c>
      <c r="H160">
        <v>4264236428</v>
      </c>
      <c r="I160" t="s">
        <v>1165</v>
      </c>
      <c r="J160">
        <v>20</v>
      </c>
      <c r="K160" t="str">
        <f t="shared" ca="1" si="17"/>
        <v>&lt;30</v>
      </c>
      <c r="M160" t="str">
        <v>Alisha</v>
      </c>
      <c r="N160" t="str">
        <v>Raman</v>
      </c>
      <c r="P160" t="str">
        <v>Alisha</v>
      </c>
      <c r="Q160" t="str">
        <v>Raman</v>
      </c>
      <c r="S160" t="str" cm="1">
        <f t="array" ref="S160">_xlfn.IFS(OR(D159="M", D159="Male"), "Male", OR(D159="F", D159="Female"), "Female", TRUE, "Other")</f>
        <v>Male</v>
      </c>
      <c r="U160" t="str">
        <f t="shared" si="18"/>
        <v>alisha Raman</v>
      </c>
      <c r="W160" t="str">
        <f t="shared" si="19"/>
        <v>alisha Raman</v>
      </c>
      <c r="Y160">
        <f t="shared" ca="1" si="20"/>
        <v>20</v>
      </c>
      <c r="AA160" s="5" t="str">
        <f t="shared" ca="1" si="21"/>
        <v>No</v>
      </c>
      <c r="AC160" s="5" t="str">
        <f t="shared" si="22"/>
        <v>489547</v>
      </c>
      <c r="AE160" t="s">
        <v>15</v>
      </c>
      <c r="AG160">
        <v>20</v>
      </c>
      <c r="AI160" t="str">
        <f>REPLACE(F159, 1, SEARCH("@", F159), "")</f>
        <v>gmail.com</v>
      </c>
      <c r="AK160">
        <v>31</v>
      </c>
      <c r="AM160" t="s">
        <v>15</v>
      </c>
    </row>
    <row r="161" spans="1:39" hidden="1">
      <c r="A161" t="s">
        <v>3570</v>
      </c>
      <c r="B161" t="s">
        <v>402</v>
      </c>
      <c r="C161" s="1">
        <v>26449</v>
      </c>
      <c r="D161" t="s">
        <v>28</v>
      </c>
      <c r="E161">
        <v>5450891776</v>
      </c>
      <c r="F161" t="s">
        <v>1176</v>
      </c>
      <c r="G161" t="s">
        <v>1177</v>
      </c>
      <c r="H161">
        <v>9362689430</v>
      </c>
      <c r="I161" t="s">
        <v>1178</v>
      </c>
      <c r="J161">
        <v>47</v>
      </c>
      <c r="K161" t="str">
        <f t="shared" ca="1" si="17"/>
        <v>30-60</v>
      </c>
      <c r="M161" t="str">
        <v>Adira</v>
      </c>
      <c r="N161" t="str">
        <v>Sengupta</v>
      </c>
      <c r="P161" t="str">
        <v>Adira</v>
      </c>
      <c r="Q161" t="str">
        <v>Sengupta</v>
      </c>
      <c r="S161" t="str" cm="1">
        <f t="array" ref="S161">_xlfn.IFS(OR(D160="M", D160="Male"), "Male", OR(D160="F", D160="Female"), "Female", TRUE, "Other")</f>
        <v>Male</v>
      </c>
      <c r="U161" t="str">
        <f t="shared" si="18"/>
        <v>adira Sengupta</v>
      </c>
      <c r="W161" t="str">
        <f t="shared" si="19"/>
        <v>adira Sengupta</v>
      </c>
      <c r="Y161">
        <f t="shared" ca="1" si="20"/>
        <v>47</v>
      </c>
      <c r="AA161" s="5" t="str">
        <f t="shared" ca="1" si="21"/>
        <v>No</v>
      </c>
      <c r="AC161" s="5" t="str">
        <f t="shared" si="22"/>
        <v>418472</v>
      </c>
      <c r="AE161" t="s">
        <v>15</v>
      </c>
      <c r="AG161">
        <v>47</v>
      </c>
      <c r="AI161" t="str">
        <f>REPLACE(F160, 1, SEARCH("@", F160), "")</f>
        <v>ram.com</v>
      </c>
      <c r="AK161">
        <v>31</v>
      </c>
      <c r="AM161" t="s">
        <v>15</v>
      </c>
    </row>
    <row r="162" spans="1:39">
      <c r="A162" t="s">
        <v>3571</v>
      </c>
      <c r="B162" t="s">
        <v>1210</v>
      </c>
      <c r="C162" s="1">
        <v>20722</v>
      </c>
      <c r="D162" t="s">
        <v>28</v>
      </c>
      <c r="E162">
        <v>2778851905</v>
      </c>
      <c r="F162" t="s">
        <v>1211</v>
      </c>
      <c r="G162" t="s">
        <v>1212</v>
      </c>
      <c r="H162">
        <v>5212899151</v>
      </c>
      <c r="I162" t="s">
        <v>1213</v>
      </c>
      <c r="J162">
        <f t="shared" ref="J162:J164" ca="1" si="24">DATEDIF(C166, TODAY(), "y")</f>
        <v>43</v>
      </c>
      <c r="K162" t="str">
        <f t="shared" ca="1" si="17"/>
        <v>30-60</v>
      </c>
      <c r="M162" t="str">
        <v>Manjari</v>
      </c>
      <c r="N162" t="str">
        <v>Karpe</v>
      </c>
      <c r="P162" t="str">
        <v>Manjari</v>
      </c>
      <c r="Q162" t="str">
        <v>Karpe</v>
      </c>
      <c r="S162" t="str" cm="1">
        <f t="array" ref="S162">_xlfn.IFS(OR(D161="M", D161="Male"), "Male", OR(D161="F", D161="Female"), "Female", TRUE, "Other")</f>
        <v>Female</v>
      </c>
      <c r="U162" t="str">
        <f t="shared" si="18"/>
        <v>manjari Karpe</v>
      </c>
      <c r="W162" t="str">
        <f t="shared" si="19"/>
        <v>manjari Karpe</v>
      </c>
      <c r="Y162">
        <f t="shared" ca="1" si="20"/>
        <v>53</v>
      </c>
      <c r="AA162" s="5" t="str">
        <f t="shared" ca="1" si="21"/>
        <v>No</v>
      </c>
      <c r="AC162" s="5" t="str">
        <f t="shared" si="22"/>
        <v>040236</v>
      </c>
      <c r="AE162" t="s">
        <v>28</v>
      </c>
      <c r="AG162">
        <v>53</v>
      </c>
      <c r="AI162" t="str">
        <f>REPLACE(F161, 1, SEARCH("@", F161), "")</f>
        <v>sahota-saxena.info</v>
      </c>
      <c r="AK162">
        <v>31</v>
      </c>
      <c r="AM162" t="s">
        <v>28</v>
      </c>
    </row>
    <row r="163" spans="1:39" ht="28.8">
      <c r="A163" t="s">
        <v>3572</v>
      </c>
      <c r="B163" t="s">
        <v>1202</v>
      </c>
      <c r="C163" s="1">
        <v>23581</v>
      </c>
      <c r="D163" t="s">
        <v>28</v>
      </c>
      <c r="E163">
        <v>914488189848</v>
      </c>
      <c r="F163" t="s">
        <v>1214</v>
      </c>
      <c r="G163" s="2" t="s">
        <v>1215</v>
      </c>
      <c r="H163">
        <v>8142983152</v>
      </c>
      <c r="I163" t="s">
        <v>1216</v>
      </c>
      <c r="J163">
        <f t="shared" ca="1" si="24"/>
        <v>27</v>
      </c>
      <c r="K163" t="str">
        <f t="shared" ca="1" si="17"/>
        <v>&gt;60</v>
      </c>
      <c r="M163" t="str">
        <v>Jhanvi</v>
      </c>
      <c r="N163" t="str">
        <v>Sinha</v>
      </c>
      <c r="P163" t="str">
        <v>Jhanvi</v>
      </c>
      <c r="Q163" t="str">
        <v>Sinha</v>
      </c>
      <c r="S163" t="str" cm="1">
        <f t="array" ref="S163">_xlfn.IFS(OR(D162="M", D162="Male"), "Male", OR(D162="F", D162="Female"), "Female", TRUE, "Other")</f>
        <v>Female</v>
      </c>
      <c r="U163" t="str">
        <f t="shared" si="18"/>
        <v>jhanvi Sinha</v>
      </c>
      <c r="W163" t="str">
        <f t="shared" si="19"/>
        <v>jhanvi Sinha</v>
      </c>
      <c r="Y163">
        <f t="shared" ca="1" si="20"/>
        <v>69</v>
      </c>
      <c r="AA163" s="5" t="str">
        <f t="shared" ca="1" si="21"/>
        <v>Yes</v>
      </c>
      <c r="AC163" s="5" t="str">
        <f t="shared" si="22"/>
        <v>446004</v>
      </c>
      <c r="AE163" t="s">
        <v>28</v>
      </c>
      <c r="AG163">
        <v>69</v>
      </c>
      <c r="AI163" t="str">
        <f>REPLACE(F162, 1, SEARCH("@", F162), "")</f>
        <v>varughese.com</v>
      </c>
      <c r="AK163">
        <v>31</v>
      </c>
      <c r="AM163" t="s">
        <v>28</v>
      </c>
    </row>
    <row r="164" spans="1:39" ht="43.2">
      <c r="A164" t="s">
        <v>3573</v>
      </c>
      <c r="B164" t="s">
        <v>1221</v>
      </c>
      <c r="C164" s="1">
        <v>23248</v>
      </c>
      <c r="D164" t="s">
        <v>10</v>
      </c>
      <c r="E164">
        <v>1903106153</v>
      </c>
      <c r="F164" t="s">
        <v>1222</v>
      </c>
      <c r="G164" s="2" t="s">
        <v>1223</v>
      </c>
      <c r="H164">
        <v>7746040672</v>
      </c>
      <c r="I164" t="s">
        <v>1224</v>
      </c>
      <c r="J164">
        <f t="shared" ca="1" si="24"/>
        <v>51</v>
      </c>
      <c r="K164" t="str">
        <f t="shared" ca="1" si="17"/>
        <v>&gt;60</v>
      </c>
      <c r="M164" t="str">
        <v>Yasmin</v>
      </c>
      <c r="N164" t="str">
        <v>Baral</v>
      </c>
      <c r="P164" t="str">
        <v>Yasmin</v>
      </c>
      <c r="Q164" t="str">
        <v>Baral</v>
      </c>
      <c r="S164" t="str" cm="1">
        <f t="array" ref="S164">_xlfn.IFS(OR(D163="M", D163="Male"), "Male", OR(D163="F", D163="Female"), "Female", TRUE, "Other")</f>
        <v>Female</v>
      </c>
      <c r="U164" t="str">
        <f t="shared" si="18"/>
        <v>yasmin Baral</v>
      </c>
      <c r="W164" t="str">
        <f t="shared" si="19"/>
        <v>yasmin Baral</v>
      </c>
      <c r="Y164">
        <f t="shared" ca="1" si="20"/>
        <v>61</v>
      </c>
      <c r="AA164" s="5" t="str">
        <f t="shared" ca="1" si="21"/>
        <v>Yes</v>
      </c>
      <c r="AC164" s="5" t="str">
        <f t="shared" si="22"/>
        <v>170756</v>
      </c>
      <c r="AE164" t="s">
        <v>28</v>
      </c>
      <c r="AG164">
        <v>61</v>
      </c>
      <c r="AI164" t="str">
        <f>REPLACE(F163, 1, SEARCH("@", F163), "")</f>
        <v>gmail.com</v>
      </c>
      <c r="AK164">
        <v>31</v>
      </c>
      <c r="AM164" t="s">
        <v>28</v>
      </c>
    </row>
    <row r="165" spans="1:39" ht="28.8" hidden="1">
      <c r="A165" t="s">
        <v>3574</v>
      </c>
      <c r="B165" t="s">
        <v>1250</v>
      </c>
      <c r="C165" s="1">
        <v>24523</v>
      </c>
      <c r="D165" t="s">
        <v>28</v>
      </c>
      <c r="E165">
        <v>3550542960</v>
      </c>
      <c r="F165" t="s">
        <v>1251</v>
      </c>
      <c r="G165" s="2" t="s">
        <v>1252</v>
      </c>
      <c r="H165">
        <v>8044287738</v>
      </c>
      <c r="I165" t="s">
        <v>1253</v>
      </c>
      <c r="J165">
        <v>62</v>
      </c>
      <c r="K165" t="str">
        <f t="shared" ca="1" si="17"/>
        <v>&gt;60</v>
      </c>
      <c r="M165" t="str">
        <v>Vivaan</v>
      </c>
      <c r="N165" t="str">
        <v>Bhavsar</v>
      </c>
      <c r="P165" t="str">
        <v>Vivaan</v>
      </c>
      <c r="Q165" t="str">
        <v>Bhavsar</v>
      </c>
      <c r="S165" t="str" cm="1">
        <f t="array" ref="S165">_xlfn.IFS(OR(D164="M", D164="Male"), "Male", OR(D164="F", D164="Female"), "Female", TRUE, "Other")</f>
        <v>Other</v>
      </c>
      <c r="U165" t="str">
        <f t="shared" si="18"/>
        <v>vivaan Bhavsar</v>
      </c>
      <c r="W165" t="str">
        <f t="shared" si="19"/>
        <v>vivaan Bhavsar</v>
      </c>
      <c r="Y165">
        <f t="shared" ca="1" si="20"/>
        <v>62</v>
      </c>
      <c r="AA165" s="5" t="str">
        <f t="shared" ca="1" si="21"/>
        <v>Yes</v>
      </c>
      <c r="AC165" s="5" t="str">
        <f t="shared" si="22"/>
        <v>236533</v>
      </c>
      <c r="AE165" t="s">
        <v>10</v>
      </c>
      <c r="AG165">
        <v>62</v>
      </c>
      <c r="AI165" t="str">
        <f>REPLACE(F164, 1, SEARCH("@", F164), "")</f>
        <v>hotmail.com</v>
      </c>
      <c r="AK165">
        <v>30</v>
      </c>
      <c r="AM165" t="s">
        <v>10</v>
      </c>
    </row>
    <row r="166" spans="1:39">
      <c r="A166" t="s">
        <v>3575</v>
      </c>
      <c r="B166" t="s">
        <v>508</v>
      </c>
      <c r="C166" s="1">
        <v>30070</v>
      </c>
      <c r="D166" t="s">
        <v>10</v>
      </c>
      <c r="E166">
        <v>912653060119</v>
      </c>
      <c r="F166" t="s">
        <v>1260</v>
      </c>
      <c r="G166" t="s">
        <v>1261</v>
      </c>
      <c r="H166">
        <v>3657744916</v>
      </c>
      <c r="I166" t="s">
        <v>1262</v>
      </c>
      <c r="J166">
        <f ca="1">DATEDIF(C170, TODAY(), "y")</f>
        <v>50</v>
      </c>
      <c r="K166" t="str">
        <f t="shared" ca="1" si="17"/>
        <v>30-60</v>
      </c>
      <c r="M166" t="str">
        <v>Indrajit</v>
      </c>
      <c r="N166" t="str">
        <v>Sur</v>
      </c>
      <c r="P166" t="str">
        <v>Indrajit</v>
      </c>
      <c r="Q166" t="str">
        <v>Sur</v>
      </c>
      <c r="S166" t="str" cm="1">
        <f t="array" ref="S166">_xlfn.IFS(OR(D165="M", D165="Male"), "Male", OR(D165="F", D165="Female"), "Female", TRUE, "Other")</f>
        <v>Female</v>
      </c>
      <c r="U166" t="str">
        <f t="shared" si="18"/>
        <v>indrajit Sur</v>
      </c>
      <c r="W166" t="str">
        <f t="shared" si="19"/>
        <v>indrajit Sur</v>
      </c>
      <c r="Y166">
        <f t="shared" ca="1" si="20"/>
        <v>59</v>
      </c>
      <c r="AA166" s="5" t="str">
        <f t="shared" ca="1" si="21"/>
        <v>No</v>
      </c>
      <c r="AC166" s="5" t="str">
        <f t="shared" si="22"/>
        <v>164818</v>
      </c>
      <c r="AE166" t="s">
        <v>28</v>
      </c>
      <c r="AG166">
        <v>59</v>
      </c>
      <c r="AI166" t="str">
        <f>REPLACE(F165, 1, SEARCH("@", F165), "")</f>
        <v>dara.org</v>
      </c>
      <c r="AK166">
        <v>30</v>
      </c>
      <c r="AM166" t="s">
        <v>28</v>
      </c>
    </row>
    <row r="167" spans="1:39" ht="28.8" hidden="1">
      <c r="A167" t="s">
        <v>3576</v>
      </c>
      <c r="B167" t="s">
        <v>1314</v>
      </c>
      <c r="C167" s="1">
        <v>36043</v>
      </c>
      <c r="D167" t="s">
        <v>15</v>
      </c>
      <c r="E167">
        <v>6559428249</v>
      </c>
      <c r="F167" t="s">
        <v>1315</v>
      </c>
      <c r="G167" s="2" t="s">
        <v>1316</v>
      </c>
      <c r="H167">
        <v>557083682</v>
      </c>
      <c r="I167" t="s">
        <v>1317</v>
      </c>
      <c r="J167">
        <v>43</v>
      </c>
      <c r="K167" t="str">
        <f t="shared" ca="1" si="17"/>
        <v>30-60</v>
      </c>
      <c r="M167" t="str">
        <v>Parinaaz</v>
      </c>
      <c r="N167" t="str">
        <v>Chaudhary</v>
      </c>
      <c r="P167" t="str">
        <v>Parinaaz</v>
      </c>
      <c r="Q167" t="str">
        <v>Chaudhary</v>
      </c>
      <c r="S167" t="str" cm="1">
        <f t="array" ref="S167">_xlfn.IFS(OR(D166="M", D166="Male"), "Male", OR(D166="F", D166="Female"), "Female", TRUE, "Other")</f>
        <v>Other</v>
      </c>
      <c r="U167" t="str">
        <f t="shared" si="18"/>
        <v>parinaaz Chaudhary</v>
      </c>
      <c r="W167" t="str">
        <f t="shared" si="19"/>
        <v>parinaaz Chaudhary</v>
      </c>
      <c r="Y167">
        <f t="shared" ca="1" si="20"/>
        <v>43</v>
      </c>
      <c r="AA167" s="5" t="str">
        <f t="shared" ca="1" si="21"/>
        <v>No</v>
      </c>
      <c r="AC167" s="5" t="str">
        <f t="shared" si="22"/>
        <v>182980</v>
      </c>
      <c r="AE167" t="s">
        <v>10</v>
      </c>
      <c r="AG167">
        <v>43</v>
      </c>
      <c r="AI167" t="str">
        <f>REPLACE(F166, 1, SEARCH("@", F166), "")</f>
        <v>hotmail.com</v>
      </c>
      <c r="AK167">
        <v>30</v>
      </c>
      <c r="AM167" t="s">
        <v>10</v>
      </c>
    </row>
    <row r="168" spans="1:39" ht="28.8" hidden="1">
      <c r="A168" t="s">
        <v>3577</v>
      </c>
      <c r="B168" t="s">
        <v>1383</v>
      </c>
      <c r="C168" s="1">
        <v>27148</v>
      </c>
      <c r="D168" t="s">
        <v>10</v>
      </c>
      <c r="E168">
        <v>4896676056</v>
      </c>
      <c r="F168" t="s">
        <v>1384</v>
      </c>
      <c r="G168" s="2" t="s">
        <v>1385</v>
      </c>
      <c r="H168">
        <v>623546622</v>
      </c>
      <c r="I168" t="s">
        <v>1386</v>
      </c>
      <c r="J168">
        <v>27</v>
      </c>
      <c r="K168" t="str">
        <f t="shared" ca="1" si="17"/>
        <v>&lt;30</v>
      </c>
      <c r="M168" t="str">
        <v>Mohanlal</v>
      </c>
      <c r="N168" t="str">
        <v>Gara</v>
      </c>
      <c r="P168" t="str">
        <v>Mohanlal</v>
      </c>
      <c r="Q168" t="str">
        <v>Gara</v>
      </c>
      <c r="S168" t="str" cm="1">
        <f t="array" ref="S168">_xlfn.IFS(OR(D167="M", D167="Male"), "Male", OR(D167="F", D167="Female"), "Female", TRUE, "Other")</f>
        <v>Male</v>
      </c>
      <c r="U168" t="str">
        <f t="shared" si="18"/>
        <v>mohanlal Gara</v>
      </c>
      <c r="W168" t="str">
        <f t="shared" si="19"/>
        <v>mohanlal Gara</v>
      </c>
      <c r="Y168">
        <f t="shared" ca="1" si="20"/>
        <v>27</v>
      </c>
      <c r="AA168" s="5" t="str">
        <f t="shared" ca="1" si="21"/>
        <v>No</v>
      </c>
      <c r="AC168" s="5" t="str">
        <f t="shared" si="22"/>
        <v>215513</v>
      </c>
      <c r="AE168" t="s">
        <v>15</v>
      </c>
      <c r="AG168">
        <v>27</v>
      </c>
      <c r="AI168" t="str">
        <f>REPLACE(F167, 1, SEARCH("@", F167), "")</f>
        <v>ganesan-arya.com</v>
      </c>
      <c r="AK168">
        <v>30</v>
      </c>
      <c r="AM168" t="s">
        <v>15</v>
      </c>
    </row>
    <row r="169" spans="1:39" ht="43.2" hidden="1">
      <c r="A169" t="s">
        <v>3578</v>
      </c>
      <c r="B169" t="s">
        <v>1449</v>
      </c>
      <c r="C169" s="1">
        <v>20921</v>
      </c>
      <c r="D169" t="s">
        <v>10</v>
      </c>
      <c r="E169">
        <v>9705916118</v>
      </c>
      <c r="F169" t="s">
        <v>1450</v>
      </c>
      <c r="G169" s="2" t="s">
        <v>1451</v>
      </c>
      <c r="H169">
        <v>8692897284</v>
      </c>
      <c r="I169" t="s">
        <v>1452</v>
      </c>
      <c r="J169">
        <v>51</v>
      </c>
      <c r="K169" t="str">
        <f t="shared" ca="1" si="17"/>
        <v>30-60</v>
      </c>
      <c r="M169" t="str">
        <v>Ritvik</v>
      </c>
      <c r="N169" t="str">
        <v>Guha</v>
      </c>
      <c r="P169" t="str">
        <v>Ritvik</v>
      </c>
      <c r="Q169" t="str">
        <v>Guha</v>
      </c>
      <c r="S169" t="str" cm="1">
        <f t="array" ref="S169">_xlfn.IFS(OR(D168="M", D168="Male"), "Male", OR(D168="F", D168="Female"), "Female", TRUE, "Other")</f>
        <v>Other</v>
      </c>
      <c r="U169" t="str">
        <f t="shared" si="18"/>
        <v>ritvik Guha</v>
      </c>
      <c r="W169" t="str">
        <f t="shared" si="19"/>
        <v>ritvik Guha</v>
      </c>
      <c r="Y169">
        <f t="shared" ca="1" si="20"/>
        <v>51</v>
      </c>
      <c r="AA169" s="5" t="str">
        <f t="shared" ca="1" si="21"/>
        <v>No</v>
      </c>
      <c r="AC169" s="5" t="str">
        <f t="shared" si="22"/>
        <v>453389</v>
      </c>
      <c r="AE169" t="s">
        <v>10</v>
      </c>
      <c r="AG169">
        <v>51</v>
      </c>
      <c r="AI169" t="str">
        <f>REPLACE(F168, 1, SEARCH("@", F168), "")</f>
        <v>yahoo.com</v>
      </c>
      <c r="AK169">
        <v>29</v>
      </c>
      <c r="AM169" t="s">
        <v>10</v>
      </c>
    </row>
    <row r="170" spans="1:39" ht="43.2" hidden="1">
      <c r="A170" t="s">
        <v>3579</v>
      </c>
      <c r="B170" t="s">
        <v>1457</v>
      </c>
      <c r="C170" s="1">
        <v>27666</v>
      </c>
      <c r="D170" t="s">
        <v>15</v>
      </c>
      <c r="E170">
        <v>910059377756</v>
      </c>
      <c r="F170" t="s">
        <v>1458</v>
      </c>
      <c r="G170" s="2" t="s">
        <v>1459</v>
      </c>
      <c r="H170">
        <v>1966229131</v>
      </c>
      <c r="I170" t="s">
        <v>1460</v>
      </c>
      <c r="J170">
        <v>69</v>
      </c>
      <c r="K170" t="str">
        <f t="shared" ca="1" si="17"/>
        <v>&gt;60</v>
      </c>
      <c r="M170" t="str">
        <v>Eshani</v>
      </c>
      <c r="N170" t="str">
        <v>Srivastava</v>
      </c>
      <c r="P170" t="str">
        <v>Eshani</v>
      </c>
      <c r="Q170" t="str">
        <v>Srivastava</v>
      </c>
      <c r="S170" t="str" cm="1">
        <f t="array" ref="S170">_xlfn.IFS(OR(D169="M", D169="Male"), "Male", OR(D169="F", D169="Female"), "Female", TRUE, "Other")</f>
        <v>Other</v>
      </c>
      <c r="U170" t="str">
        <f t="shared" si="18"/>
        <v>eshani Srivastava</v>
      </c>
      <c r="W170" t="str">
        <f t="shared" si="19"/>
        <v>eshani Srivastava</v>
      </c>
      <c r="Y170">
        <f t="shared" ca="1" si="20"/>
        <v>69</v>
      </c>
      <c r="AA170" s="5" t="str">
        <f t="shared" ca="1" si="21"/>
        <v>Yes</v>
      </c>
      <c r="AC170" s="5" t="str">
        <f t="shared" si="22"/>
        <v>378931</v>
      </c>
      <c r="AE170" t="s">
        <v>10</v>
      </c>
      <c r="AG170">
        <v>69</v>
      </c>
      <c r="AI170" t="str">
        <f>REPLACE(F169, 1, SEARCH("@", F169), "")</f>
        <v>yahoo.com</v>
      </c>
      <c r="AK170">
        <v>28</v>
      </c>
      <c r="AM170" t="s">
        <v>10</v>
      </c>
    </row>
    <row r="171" spans="1:39" ht="43.2" hidden="1">
      <c r="A171" t="s">
        <v>3580</v>
      </c>
      <c r="B171" t="s">
        <v>1478</v>
      </c>
      <c r="C171" s="1">
        <v>34788</v>
      </c>
      <c r="D171" t="s">
        <v>15</v>
      </c>
      <c r="E171">
        <v>912142573160</v>
      </c>
      <c r="F171" t="s">
        <v>1479</v>
      </c>
      <c r="G171" s="2" t="s">
        <v>1480</v>
      </c>
      <c r="H171">
        <v>9297352595</v>
      </c>
      <c r="I171" t="s">
        <v>1481</v>
      </c>
      <c r="J171">
        <v>50</v>
      </c>
      <c r="K171" t="str">
        <f t="shared" ca="1" si="17"/>
        <v>30-60</v>
      </c>
      <c r="M171" t="str">
        <v xml:space="preserve">Yuvraj </v>
      </c>
      <c r="N171" t="str">
        <v>Date</v>
      </c>
      <c r="P171" t="str">
        <v>Yuvraj</v>
      </c>
      <c r="Q171" t="str">
        <v>Date</v>
      </c>
      <c r="S171" t="str" cm="1">
        <f t="array" ref="S171">_xlfn.IFS(OR(D170="M", D170="Male"), "Male", OR(D170="F", D170="Female"), "Female", TRUE, "Other")</f>
        <v>Male</v>
      </c>
      <c r="U171" t="str">
        <f t="shared" si="18"/>
        <v>yuvraj  Date</v>
      </c>
      <c r="W171" t="str">
        <f t="shared" si="19"/>
        <v>yuvraj  Date</v>
      </c>
      <c r="Y171">
        <f t="shared" ca="1" si="20"/>
        <v>50</v>
      </c>
      <c r="AA171" s="5" t="str">
        <f t="shared" ca="1" si="21"/>
        <v>No</v>
      </c>
      <c r="AC171" s="5" t="str">
        <f t="shared" si="22"/>
        <v>104384</v>
      </c>
      <c r="AE171" t="s">
        <v>15</v>
      </c>
      <c r="AG171">
        <v>50</v>
      </c>
      <c r="AI171" t="str">
        <f>REPLACE(F170, 1, SEARCH("@", F170), "")</f>
        <v>sani.com</v>
      </c>
      <c r="AK171">
        <v>28</v>
      </c>
      <c r="AM171" t="s">
        <v>15</v>
      </c>
    </row>
    <row r="172" spans="1:39" hidden="1">
      <c r="A172" t="s">
        <v>3581</v>
      </c>
      <c r="B172" t="s">
        <v>1494</v>
      </c>
      <c r="C172" s="1">
        <v>27505</v>
      </c>
      <c r="D172" t="s">
        <v>28</v>
      </c>
      <c r="E172">
        <v>759889786</v>
      </c>
      <c r="F172" t="s">
        <v>1495</v>
      </c>
      <c r="G172" t="s">
        <v>1496</v>
      </c>
      <c r="H172">
        <v>1915057644</v>
      </c>
      <c r="I172" t="s">
        <v>1497</v>
      </c>
      <c r="J172">
        <v>31</v>
      </c>
      <c r="K172" t="str">
        <f t="shared" ca="1" si="17"/>
        <v>30-60</v>
      </c>
      <c r="M172" t="str">
        <v>Anya</v>
      </c>
      <c r="N172" t="str">
        <v>Varty</v>
      </c>
      <c r="P172" t="str">
        <v>Anya</v>
      </c>
      <c r="Q172" t="str">
        <v>Varty</v>
      </c>
      <c r="S172" t="str" cm="1">
        <f t="array" ref="S172">_xlfn.IFS(OR(D171="M", D171="Male"), "Male", OR(D171="F", D171="Female"), "Female", TRUE, "Other")</f>
        <v>Male</v>
      </c>
      <c r="U172" t="str">
        <f t="shared" si="18"/>
        <v>anya Varty</v>
      </c>
      <c r="W172" t="str">
        <f t="shared" si="19"/>
        <v>anya Varty</v>
      </c>
      <c r="Y172">
        <f t="shared" ca="1" si="20"/>
        <v>31</v>
      </c>
      <c r="AA172" s="5" t="str">
        <f t="shared" ca="1" si="21"/>
        <v>No</v>
      </c>
      <c r="AC172" s="5" t="str">
        <f t="shared" si="22"/>
        <v>528620</v>
      </c>
      <c r="AE172" t="s">
        <v>15</v>
      </c>
      <c r="AG172">
        <v>31</v>
      </c>
      <c r="AI172" t="str">
        <f>REPLACE(F171, 1, SEARCH("@", F171), "")</f>
        <v>gmail.com</v>
      </c>
      <c r="AK172">
        <v>28</v>
      </c>
      <c r="AM172" t="s">
        <v>15</v>
      </c>
    </row>
    <row r="173" spans="1:39" ht="28.8">
      <c r="A173" t="s">
        <v>3582</v>
      </c>
      <c r="B173" t="s">
        <v>640</v>
      </c>
      <c r="C173" s="1">
        <v>36483</v>
      </c>
      <c r="D173" t="s">
        <v>15</v>
      </c>
      <c r="E173">
        <v>8445143672</v>
      </c>
      <c r="F173" t="s">
        <v>1578</v>
      </c>
      <c r="G173" s="2" t="s">
        <v>1579</v>
      </c>
      <c r="H173">
        <v>9009921779</v>
      </c>
      <c r="I173" t="s">
        <v>1580</v>
      </c>
      <c r="J173">
        <f ca="1">DATEDIF(C177, TODAY(), "y")</f>
        <v>47</v>
      </c>
      <c r="K173" t="str">
        <f t="shared" ca="1" si="17"/>
        <v>30-60</v>
      </c>
      <c r="M173" t="str">
        <v>Advika</v>
      </c>
      <c r="N173" t="str">
        <v>Sachdev</v>
      </c>
      <c r="P173" t="str">
        <v>Advika</v>
      </c>
      <c r="Q173" t="str">
        <v>Sachdev</v>
      </c>
      <c r="S173" t="str" cm="1">
        <f t="array" ref="S173">_xlfn.IFS(OR(D172="M", D172="Male"), "Male", OR(D172="F", D172="Female"), "Female", TRUE, "Other")</f>
        <v>Female</v>
      </c>
      <c r="U173" t="str">
        <f t="shared" si="18"/>
        <v>advika Sachdev</v>
      </c>
      <c r="W173" t="str">
        <f t="shared" si="19"/>
        <v>advika Sachdev</v>
      </c>
      <c r="Y173">
        <f t="shared" ca="1" si="20"/>
        <v>50</v>
      </c>
      <c r="AA173" s="5" t="str">
        <f t="shared" ca="1" si="21"/>
        <v>No</v>
      </c>
      <c r="AC173" s="5" t="str">
        <f t="shared" si="22"/>
        <v>231202</v>
      </c>
      <c r="AE173" t="s">
        <v>28</v>
      </c>
      <c r="AG173">
        <v>50</v>
      </c>
      <c r="AI173" t="str">
        <f>REPLACE(F172, 1, SEARCH("@", F172), "")</f>
        <v>hotmail.com</v>
      </c>
      <c r="AK173">
        <v>28</v>
      </c>
      <c r="AM173" t="s">
        <v>28</v>
      </c>
    </row>
    <row r="174" spans="1:39" ht="28.8" hidden="1">
      <c r="A174" t="s">
        <v>3583</v>
      </c>
      <c r="B174" t="s">
        <v>572</v>
      </c>
      <c r="C174" s="1">
        <v>26358</v>
      </c>
      <c r="D174" t="s">
        <v>28</v>
      </c>
      <c r="E174">
        <v>8736627135</v>
      </c>
      <c r="F174" t="s">
        <v>1584</v>
      </c>
      <c r="G174" s="2" t="s">
        <v>1585</v>
      </c>
      <c r="H174">
        <v>7925511643</v>
      </c>
      <c r="I174" t="s">
        <v>1586</v>
      </c>
      <c r="J174">
        <v>26</v>
      </c>
      <c r="K174" t="str">
        <f t="shared" ca="1" si="17"/>
        <v>&lt;30</v>
      </c>
      <c r="M174" t="str">
        <v>Abram</v>
      </c>
      <c r="N174" t="str">
        <v>Gala</v>
      </c>
      <c r="P174" t="str">
        <v>Abram</v>
      </c>
      <c r="Q174" t="str">
        <v>Gala</v>
      </c>
      <c r="S174" t="str" cm="1">
        <f t="array" ref="S174">_xlfn.IFS(OR(D173="M", D173="Male"), "Male", OR(D173="F", D173="Female"), "Female", TRUE, "Other")</f>
        <v>Male</v>
      </c>
      <c r="U174" t="str">
        <f t="shared" si="18"/>
        <v>abram Gala</v>
      </c>
      <c r="W174" t="str">
        <f t="shared" si="19"/>
        <v>abram Gala</v>
      </c>
      <c r="Y174">
        <f t="shared" ca="1" si="20"/>
        <v>26</v>
      </c>
      <c r="AA174" s="5" t="str">
        <f t="shared" ca="1" si="21"/>
        <v>No</v>
      </c>
      <c r="AC174" s="5" t="str">
        <f t="shared" si="22"/>
        <v>978145</v>
      </c>
      <c r="AE174" t="s">
        <v>15</v>
      </c>
      <c r="AG174">
        <v>26</v>
      </c>
      <c r="AI174" t="str">
        <f>REPLACE(F173, 1, SEARCH("@", F173), "")</f>
        <v>hotmail.com</v>
      </c>
      <c r="AK174">
        <v>27</v>
      </c>
      <c r="AM174" t="s">
        <v>15</v>
      </c>
    </row>
    <row r="175" spans="1:39" ht="28.8">
      <c r="A175" t="s">
        <v>3584</v>
      </c>
      <c r="B175" t="s">
        <v>1597</v>
      </c>
      <c r="C175" s="1">
        <v>19474</v>
      </c>
      <c r="D175" t="s">
        <v>28</v>
      </c>
      <c r="E175">
        <v>910794193245</v>
      </c>
      <c r="F175" t="s">
        <v>1598</v>
      </c>
      <c r="G175" s="2" t="s">
        <v>1599</v>
      </c>
      <c r="H175">
        <v>5174224043</v>
      </c>
      <c r="I175" t="s">
        <v>1600</v>
      </c>
      <c r="J175">
        <f t="shared" ref="J175:J177" ca="1" si="25">DATEDIF(C179, TODAY(), "y")</f>
        <v>54</v>
      </c>
      <c r="K175" t="str">
        <f t="shared" ca="1" si="17"/>
        <v>30-60</v>
      </c>
      <c r="M175" t="str">
        <v>Darshit</v>
      </c>
      <c r="N175" t="str">
        <v>Zachariah</v>
      </c>
      <c r="P175" t="str">
        <v>Darshit</v>
      </c>
      <c r="Q175" t="str">
        <v>Zachariah</v>
      </c>
      <c r="S175" t="str" cm="1">
        <f t="array" ref="S175">_xlfn.IFS(OR(D174="M", D174="Male"), "Male", OR(D174="F", D174="Female"), "Female", TRUE, "Other")</f>
        <v>Female</v>
      </c>
      <c r="U175" t="str">
        <f t="shared" si="18"/>
        <v>darshit Zachariah</v>
      </c>
      <c r="W175" t="str">
        <f t="shared" si="19"/>
        <v>darshit Zachariah</v>
      </c>
      <c r="Y175">
        <f t="shared" ca="1" si="20"/>
        <v>54</v>
      </c>
      <c r="AA175" s="5" t="str">
        <f t="shared" ca="1" si="21"/>
        <v>No</v>
      </c>
      <c r="AC175" s="5" t="str">
        <f t="shared" si="22"/>
        <v>156639</v>
      </c>
      <c r="AE175" t="s">
        <v>28</v>
      </c>
      <c r="AG175">
        <v>54</v>
      </c>
      <c r="AI175" t="str">
        <f>REPLACE(F174, 1, SEARCH("@", F174), "")</f>
        <v>gmail.com</v>
      </c>
      <c r="AK175">
        <v>27</v>
      </c>
      <c r="AM175" t="s">
        <v>28</v>
      </c>
    </row>
    <row r="176" spans="1:39" ht="43.2">
      <c r="A176" t="s">
        <v>3585</v>
      </c>
      <c r="B176" t="s">
        <v>1604</v>
      </c>
      <c r="C176" s="1">
        <v>22093</v>
      </c>
      <c r="D176" t="s">
        <v>28</v>
      </c>
      <c r="E176">
        <v>911138690871</v>
      </c>
      <c r="F176" t="s">
        <v>1605</v>
      </c>
      <c r="G176" s="2" t="s">
        <v>1606</v>
      </c>
      <c r="H176">
        <v>4360234422</v>
      </c>
      <c r="I176" t="s">
        <v>1607</v>
      </c>
      <c r="J176">
        <f t="shared" ca="1" si="25"/>
        <v>45</v>
      </c>
      <c r="K176" t="str">
        <f t="shared" ca="1" si="17"/>
        <v>&gt;60</v>
      </c>
      <c r="M176" t="str">
        <v>Tara</v>
      </c>
      <c r="N176" t="str">
        <v>Dey</v>
      </c>
      <c r="P176" t="str">
        <v>Tara</v>
      </c>
      <c r="Q176" t="str">
        <v>Dey</v>
      </c>
      <c r="S176" t="str" cm="1">
        <f t="array" ref="S176">_xlfn.IFS(OR(D175="M", D175="Male"), "Male", OR(D175="F", D175="Female"), "Female", TRUE, "Other")</f>
        <v>Female</v>
      </c>
      <c r="U176" t="str">
        <f t="shared" si="18"/>
        <v>tara Dey</v>
      </c>
      <c r="W176" t="str">
        <f t="shared" si="19"/>
        <v>tara Dey</v>
      </c>
      <c r="Y176">
        <f t="shared" ca="1" si="20"/>
        <v>72</v>
      </c>
      <c r="AA176" s="5" t="str">
        <f t="shared" ca="1" si="21"/>
        <v>Yes</v>
      </c>
      <c r="AC176" s="5" t="str">
        <f t="shared" si="22"/>
        <v>496322</v>
      </c>
      <c r="AE176" t="s">
        <v>28</v>
      </c>
      <c r="AG176">
        <v>72</v>
      </c>
      <c r="AI176" t="str">
        <f>REPLACE(F175, 1, SEARCH("@", F175), "")</f>
        <v>saxena-randhawa.com</v>
      </c>
      <c r="AK176">
        <v>27</v>
      </c>
      <c r="AM176" t="s">
        <v>28</v>
      </c>
    </row>
    <row r="177" spans="1:39" ht="28.8">
      <c r="A177" t="s">
        <v>3586</v>
      </c>
      <c r="B177" t="s">
        <v>693</v>
      </c>
      <c r="C177" s="1">
        <v>28689</v>
      </c>
      <c r="D177" t="s">
        <v>15</v>
      </c>
      <c r="E177">
        <v>7082139865</v>
      </c>
      <c r="F177" t="s">
        <v>1615</v>
      </c>
      <c r="G177" s="2" t="s">
        <v>1616</v>
      </c>
      <c r="H177">
        <v>886346739</v>
      </c>
      <c r="I177" t="s">
        <v>1617</v>
      </c>
      <c r="J177">
        <f t="shared" ca="1" si="25"/>
        <v>45</v>
      </c>
      <c r="K177" t="str">
        <f t="shared" ca="1" si="17"/>
        <v>&gt;60</v>
      </c>
      <c r="M177" t="str">
        <v>Neysa</v>
      </c>
      <c r="N177" t="str">
        <v>Kara</v>
      </c>
      <c r="P177" t="str">
        <v>Neysa</v>
      </c>
      <c r="Q177" t="str">
        <v>Kara</v>
      </c>
      <c r="S177" t="str" cm="1">
        <f t="array" ref="S177">_xlfn.IFS(OR(D176="M", D176="Male"), "Male", OR(D176="F", D176="Female"), "Female", TRUE, "Other")</f>
        <v>Female</v>
      </c>
      <c r="U177" t="str">
        <f t="shared" si="18"/>
        <v>neysa Kara</v>
      </c>
      <c r="W177" t="str">
        <f t="shared" si="19"/>
        <v>neysa Kara</v>
      </c>
      <c r="Y177">
        <f t="shared" ca="1" si="20"/>
        <v>65</v>
      </c>
      <c r="AA177" s="5" t="str">
        <f t="shared" ca="1" si="21"/>
        <v>Yes</v>
      </c>
      <c r="AC177" s="5" t="str">
        <f t="shared" si="22"/>
        <v>817074</v>
      </c>
      <c r="AE177" t="s">
        <v>28</v>
      </c>
      <c r="AG177">
        <v>65</v>
      </c>
      <c r="AI177" t="str">
        <f>REPLACE(F176, 1, SEARCH("@", F176), "")</f>
        <v>gmail.com</v>
      </c>
      <c r="AK177">
        <v>27</v>
      </c>
      <c r="AM177" t="s">
        <v>28</v>
      </c>
    </row>
    <row r="178" spans="1:39" ht="28.8" hidden="1">
      <c r="A178" t="s">
        <v>3587</v>
      </c>
      <c r="B178" t="s">
        <v>759</v>
      </c>
      <c r="C178" s="1">
        <v>27378</v>
      </c>
      <c r="D178" t="s">
        <v>10</v>
      </c>
      <c r="E178">
        <v>7837031754</v>
      </c>
      <c r="F178" t="s">
        <v>1656</v>
      </c>
      <c r="G178" s="2" t="s">
        <v>1657</v>
      </c>
      <c r="H178">
        <v>8407664207</v>
      </c>
      <c r="I178" t="s">
        <v>1658</v>
      </c>
      <c r="J178">
        <v>47</v>
      </c>
      <c r="K178" t="str">
        <f t="shared" ca="1" si="17"/>
        <v>30-60</v>
      </c>
      <c r="M178" t="str">
        <v>Priyansh</v>
      </c>
      <c r="N178" t="str">
        <v>Kumer</v>
      </c>
      <c r="P178" t="str">
        <v>Priyansh</v>
      </c>
      <c r="Q178" t="str">
        <v>Kumer</v>
      </c>
      <c r="S178" t="str" cm="1">
        <f t="array" ref="S178">_xlfn.IFS(OR(D177="M", D177="Male"), "Male", OR(D177="F", D177="Female"), "Female", TRUE, "Other")</f>
        <v>Male</v>
      </c>
      <c r="U178" t="str">
        <f t="shared" si="18"/>
        <v>priyansh Kumer</v>
      </c>
      <c r="W178" t="str">
        <f t="shared" si="19"/>
        <v>priyansh Kumer</v>
      </c>
      <c r="Y178">
        <f t="shared" ca="1" si="20"/>
        <v>47</v>
      </c>
      <c r="AA178" s="5" t="str">
        <f t="shared" ca="1" si="21"/>
        <v>No</v>
      </c>
      <c r="AC178" s="5" t="str">
        <f t="shared" si="22"/>
        <v>033000</v>
      </c>
      <c r="AE178" t="s">
        <v>15</v>
      </c>
      <c r="AG178">
        <v>47</v>
      </c>
      <c r="AI178" t="str">
        <f>REPLACE(F177, 1, SEARCH("@", F177), "")</f>
        <v>hotmail.com</v>
      </c>
      <c r="AK178">
        <v>27</v>
      </c>
      <c r="AM178" t="s">
        <v>15</v>
      </c>
    </row>
    <row r="179" spans="1:39" ht="28.8" hidden="1">
      <c r="A179" t="s">
        <v>3588</v>
      </c>
      <c r="B179" t="s">
        <v>1663</v>
      </c>
      <c r="C179" s="1">
        <v>26252</v>
      </c>
      <c r="D179" t="s">
        <v>28</v>
      </c>
      <c r="E179">
        <v>4261903842</v>
      </c>
      <c r="F179" t="s">
        <v>1664</v>
      </c>
      <c r="G179" s="2" t="s">
        <v>1665</v>
      </c>
      <c r="H179">
        <v>6204298514</v>
      </c>
      <c r="I179" t="s">
        <v>1666</v>
      </c>
      <c r="J179">
        <v>51</v>
      </c>
      <c r="K179" t="str">
        <f t="shared" ca="1" si="17"/>
        <v>30-60</v>
      </c>
      <c r="M179" t="str">
        <v>Gatik</v>
      </c>
      <c r="N179" t="str">
        <v>Golla</v>
      </c>
      <c r="P179" t="str">
        <v>Gatik</v>
      </c>
      <c r="Q179" t="str">
        <v>Golla</v>
      </c>
      <c r="S179" t="str" cm="1">
        <f t="array" ref="S179">_xlfn.IFS(OR(D178="M", D178="Male"), "Male", OR(D178="F", D178="Female"), "Female", TRUE, "Other")</f>
        <v>Other</v>
      </c>
      <c r="U179" t="str">
        <f t="shared" si="18"/>
        <v>gatik Golla</v>
      </c>
      <c r="W179" t="str">
        <f t="shared" si="19"/>
        <v>gatik Golla</v>
      </c>
      <c r="Y179">
        <f t="shared" ca="1" si="20"/>
        <v>51</v>
      </c>
      <c r="AA179" s="5" t="str">
        <f t="shared" ca="1" si="21"/>
        <v>No</v>
      </c>
      <c r="AC179" s="5" t="str">
        <f t="shared" si="22"/>
        <v>862728</v>
      </c>
      <c r="AE179" t="s">
        <v>10</v>
      </c>
      <c r="AG179">
        <v>51</v>
      </c>
      <c r="AI179" t="str">
        <f>REPLACE(F178, 1, SEARCH("@", F178), "")</f>
        <v>divan-tara.com</v>
      </c>
      <c r="AK179">
        <v>27</v>
      </c>
      <c r="AM179" t="s">
        <v>10</v>
      </c>
    </row>
    <row r="180" spans="1:39" ht="28.8">
      <c r="A180" t="s">
        <v>3589</v>
      </c>
      <c r="B180" t="s">
        <v>176</v>
      </c>
      <c r="C180" s="1">
        <v>29351</v>
      </c>
      <c r="D180" t="s">
        <v>28</v>
      </c>
      <c r="E180">
        <v>917086494269</v>
      </c>
      <c r="F180" t="s">
        <v>1717</v>
      </c>
      <c r="G180" s="2" t="s">
        <v>1718</v>
      </c>
      <c r="H180">
        <v>9587305498</v>
      </c>
      <c r="I180" t="s">
        <v>1719</v>
      </c>
      <c r="J180">
        <f t="shared" ref="J180:J184" ca="1" si="26">DATEDIF(C184, TODAY(), "y")</f>
        <v>28</v>
      </c>
      <c r="K180" t="str">
        <f t="shared" ca="1" si="17"/>
        <v>30-60</v>
      </c>
      <c r="M180" t="str">
        <v>Charvi</v>
      </c>
      <c r="N180" t="str">
        <v>Savant</v>
      </c>
      <c r="P180" t="str">
        <v>Charvi</v>
      </c>
      <c r="Q180" t="str">
        <v>Savant</v>
      </c>
      <c r="S180" t="str" cm="1">
        <f t="array" ref="S180">_xlfn.IFS(OR(D179="M", D179="Male"), "Male", OR(D179="F", D179="Female"), "Female", TRUE, "Other")</f>
        <v>Female</v>
      </c>
      <c r="U180" t="str">
        <f t="shared" si="18"/>
        <v>charvi Savant</v>
      </c>
      <c r="W180" t="str">
        <f t="shared" si="19"/>
        <v>charvi Savant</v>
      </c>
      <c r="Y180">
        <f t="shared" ca="1" si="20"/>
        <v>54</v>
      </c>
      <c r="AA180" s="5" t="str">
        <f t="shared" ca="1" si="21"/>
        <v>No</v>
      </c>
      <c r="AC180" s="5" t="str">
        <f t="shared" si="22"/>
        <v>769171</v>
      </c>
      <c r="AE180" t="s">
        <v>28</v>
      </c>
      <c r="AG180">
        <v>54</v>
      </c>
      <c r="AI180" t="str">
        <f>REPLACE(F179, 1, SEARCH("@", F179), "")</f>
        <v>toor.com</v>
      </c>
      <c r="AK180">
        <v>27</v>
      </c>
      <c r="AM180" t="s">
        <v>28</v>
      </c>
    </row>
    <row r="181" spans="1:39">
      <c r="A181" t="s">
        <v>3590</v>
      </c>
      <c r="B181" t="s">
        <v>1449</v>
      </c>
      <c r="C181" s="1">
        <v>29539</v>
      </c>
      <c r="D181" t="s">
        <v>28</v>
      </c>
      <c r="E181">
        <v>851732895</v>
      </c>
      <c r="F181" t="s">
        <v>1746</v>
      </c>
      <c r="G181" t="s">
        <v>1747</v>
      </c>
      <c r="H181">
        <v>9160770040</v>
      </c>
      <c r="I181" t="s">
        <v>1748</v>
      </c>
      <c r="J181">
        <f t="shared" ca="1" si="26"/>
        <v>22</v>
      </c>
      <c r="K181" t="str">
        <f t="shared" ca="1" si="17"/>
        <v>30-60</v>
      </c>
      <c r="M181" t="str">
        <v>Zaina</v>
      </c>
      <c r="N181" t="str">
        <v>Dada</v>
      </c>
      <c r="P181" t="str">
        <v>Zaina</v>
      </c>
      <c r="Q181" t="str">
        <v>Dada</v>
      </c>
      <c r="S181" t="str" cm="1">
        <f t="array" ref="S181">_xlfn.IFS(OR(D180="M", D180="Male"), "Male", OR(D180="F", D180="Female"), "Female", TRUE, "Other")</f>
        <v>Female</v>
      </c>
      <c r="U181" t="str">
        <f t="shared" si="18"/>
        <v>zaina Dada</v>
      </c>
      <c r="W181" t="str">
        <f t="shared" si="19"/>
        <v>zaina Dada</v>
      </c>
      <c r="Y181">
        <f t="shared" ca="1" si="20"/>
        <v>45</v>
      </c>
      <c r="AA181" s="5" t="str">
        <f t="shared" ca="1" si="21"/>
        <v>No</v>
      </c>
      <c r="AC181" s="5" t="str">
        <f t="shared" si="22"/>
        <v>706921</v>
      </c>
      <c r="AE181" t="s">
        <v>28</v>
      </c>
      <c r="AG181">
        <v>45</v>
      </c>
      <c r="AI181" t="str">
        <f>REPLACE(F180, 1, SEARCH("@", F180), "")</f>
        <v>hotmail.com</v>
      </c>
      <c r="AK181">
        <v>26</v>
      </c>
      <c r="AM181" t="s">
        <v>28</v>
      </c>
    </row>
    <row r="182" spans="1:39">
      <c r="A182" t="s">
        <v>3591</v>
      </c>
      <c r="B182" t="s">
        <v>1169</v>
      </c>
      <c r="C182" s="1">
        <v>30393</v>
      </c>
      <c r="D182" t="s">
        <v>28</v>
      </c>
      <c r="E182">
        <v>9870920199</v>
      </c>
      <c r="F182" t="s">
        <v>1753</v>
      </c>
      <c r="G182" t="s">
        <v>1754</v>
      </c>
      <c r="H182">
        <v>6047220539</v>
      </c>
      <c r="I182" t="s">
        <v>1755</v>
      </c>
      <c r="J182">
        <f t="shared" ca="1" si="26"/>
        <v>30</v>
      </c>
      <c r="K182" t="str">
        <f t="shared" ca="1" si="17"/>
        <v>30-60</v>
      </c>
      <c r="M182" t="str">
        <v>Devansh</v>
      </c>
      <c r="N182" t="str">
        <v>Srivastava</v>
      </c>
      <c r="P182" t="str">
        <v>Devansh</v>
      </c>
      <c r="Q182" t="str">
        <v>Srivastava</v>
      </c>
      <c r="S182" t="str" cm="1">
        <f t="array" ref="S182">_xlfn.IFS(OR(D181="M", D181="Male"), "Male", OR(D181="F", D181="Female"), "Female", TRUE, "Other")</f>
        <v>Female</v>
      </c>
      <c r="U182" t="str">
        <f t="shared" si="18"/>
        <v>devansh Srivastava</v>
      </c>
      <c r="W182" t="str">
        <f t="shared" si="19"/>
        <v>devansh Srivastava</v>
      </c>
      <c r="Y182">
        <f t="shared" ca="1" si="20"/>
        <v>45</v>
      </c>
      <c r="AA182" s="5" t="str">
        <f t="shared" ca="1" si="21"/>
        <v>No</v>
      </c>
      <c r="AC182" s="5" t="str">
        <f t="shared" si="22"/>
        <v>449653</v>
      </c>
      <c r="AE182" t="s">
        <v>28</v>
      </c>
      <c r="AG182">
        <v>45</v>
      </c>
      <c r="AI182" t="str">
        <f>REPLACE(F181, 1, SEARCH("@", F181), "")</f>
        <v>badami-ramakrishnan.com</v>
      </c>
      <c r="AK182">
        <v>26</v>
      </c>
      <c r="AM182" t="s">
        <v>28</v>
      </c>
    </row>
    <row r="183" spans="1:39" ht="28.8">
      <c r="A183" t="s">
        <v>3592</v>
      </c>
      <c r="B183" t="s">
        <v>1079</v>
      </c>
      <c r="C183" s="1">
        <v>30777</v>
      </c>
      <c r="D183" t="s">
        <v>28</v>
      </c>
      <c r="E183">
        <v>8240516654</v>
      </c>
      <c r="F183" t="s">
        <v>1793</v>
      </c>
      <c r="G183" s="2" t="s">
        <v>1794</v>
      </c>
      <c r="H183">
        <v>8357017036</v>
      </c>
      <c r="I183" t="s">
        <v>1795</v>
      </c>
      <c r="J183">
        <f t="shared" ca="1" si="26"/>
        <v>58</v>
      </c>
      <c r="K183" t="str">
        <f t="shared" ca="1" si="17"/>
        <v>30-60</v>
      </c>
      <c r="M183" t="str">
        <v>Aradhya</v>
      </c>
      <c r="N183" t="str">
        <v>Bail</v>
      </c>
      <c r="P183" t="str">
        <v>Aradhya</v>
      </c>
      <c r="Q183" t="str">
        <v>Bail</v>
      </c>
      <c r="S183" t="str" cm="1">
        <f t="array" ref="S183">_xlfn.IFS(OR(D182="M", D182="Male"), "Male", OR(D182="F", D182="Female"), "Female", TRUE, "Other")</f>
        <v>Female</v>
      </c>
      <c r="U183" t="str">
        <f t="shared" si="18"/>
        <v>aradhya Bail</v>
      </c>
      <c r="W183" t="str">
        <f t="shared" si="19"/>
        <v>aradhya Bail</v>
      </c>
      <c r="Y183">
        <f t="shared" ca="1" si="20"/>
        <v>43</v>
      </c>
      <c r="AA183" s="5" t="str">
        <f t="shared" ca="1" si="21"/>
        <v>No</v>
      </c>
      <c r="AC183" s="5" t="str">
        <f t="shared" si="22"/>
        <v>632119</v>
      </c>
      <c r="AE183" t="s">
        <v>28</v>
      </c>
      <c r="AG183">
        <v>43</v>
      </c>
      <c r="AI183" t="str">
        <f>REPLACE(F182, 1, SEARCH("@", F182), "")</f>
        <v>sangha.biz</v>
      </c>
      <c r="AK183">
        <v>26</v>
      </c>
      <c r="AM183" t="s">
        <v>28</v>
      </c>
    </row>
    <row r="184" spans="1:39" ht="28.8">
      <c r="A184" t="s">
        <v>3593</v>
      </c>
      <c r="B184" t="s">
        <v>364</v>
      </c>
      <c r="C184" s="1">
        <v>35763</v>
      </c>
      <c r="D184" t="s">
        <v>15</v>
      </c>
      <c r="E184">
        <v>913088295868</v>
      </c>
      <c r="F184" t="s">
        <v>1802</v>
      </c>
      <c r="G184" s="2" t="s">
        <v>1803</v>
      </c>
      <c r="H184">
        <v>7306629315</v>
      </c>
      <c r="I184" t="s">
        <v>1804</v>
      </c>
      <c r="J184">
        <f t="shared" ca="1" si="26"/>
        <v>71</v>
      </c>
      <c r="K184" t="str">
        <f t="shared" ca="1" si="17"/>
        <v>30-60</v>
      </c>
      <c r="M184" t="str">
        <v>Alia</v>
      </c>
      <c r="N184" t="str">
        <v>Ganguly</v>
      </c>
      <c r="P184" t="str">
        <v>Alia</v>
      </c>
      <c r="Q184" t="str">
        <v>Ganguly</v>
      </c>
      <c r="S184" t="str" cm="1">
        <f t="array" ref="S184">_xlfn.IFS(OR(D183="M", D183="Male"), "Male", OR(D183="F", D183="Female"), "Female", TRUE, "Other")</f>
        <v>Female</v>
      </c>
      <c r="U184" t="str">
        <f t="shared" si="18"/>
        <v>alia Ganguly</v>
      </c>
      <c r="W184" t="str">
        <f t="shared" si="19"/>
        <v>alia Ganguly</v>
      </c>
      <c r="Y184">
        <f t="shared" ca="1" si="20"/>
        <v>42</v>
      </c>
      <c r="AA184" s="5" t="str">
        <f t="shared" ca="1" si="21"/>
        <v>No</v>
      </c>
      <c r="AC184" s="5" t="str">
        <f t="shared" si="22"/>
        <v>386860</v>
      </c>
      <c r="AE184" t="s">
        <v>28</v>
      </c>
      <c r="AG184">
        <v>42</v>
      </c>
      <c r="AI184" t="str">
        <f>REPLACE(F183, 1, SEARCH("@", F183), "")</f>
        <v>yahoo.com</v>
      </c>
      <c r="AK184">
        <v>25</v>
      </c>
      <c r="AM184" t="s">
        <v>28</v>
      </c>
    </row>
    <row r="185" spans="1:39" hidden="1">
      <c r="A185" t="s">
        <v>3594</v>
      </c>
      <c r="B185" t="s">
        <v>1827</v>
      </c>
      <c r="C185" s="1">
        <v>37992</v>
      </c>
      <c r="D185" t="s">
        <v>15</v>
      </c>
      <c r="E185">
        <v>912223499801</v>
      </c>
      <c r="F185" t="s">
        <v>1828</v>
      </c>
      <c r="G185" t="s">
        <v>1829</v>
      </c>
      <c r="H185">
        <v>2335174656</v>
      </c>
      <c r="I185" t="s">
        <v>1830</v>
      </c>
      <c r="J185">
        <v>28</v>
      </c>
      <c r="K185" t="str">
        <f t="shared" ca="1" si="17"/>
        <v>&lt;30</v>
      </c>
      <c r="M185" t="str">
        <v>Piya</v>
      </c>
      <c r="N185" t="str">
        <v>Lal</v>
      </c>
      <c r="P185" t="str">
        <v>Piya</v>
      </c>
      <c r="Q185" t="str">
        <v>Lal</v>
      </c>
      <c r="S185" t="str" cm="1">
        <f t="array" ref="S185">_xlfn.IFS(OR(D184="M", D184="Male"), "Male", OR(D184="F", D184="Female"), "Female", TRUE, "Other")</f>
        <v>Male</v>
      </c>
      <c r="U185" t="str">
        <f t="shared" si="18"/>
        <v>piya Lal</v>
      </c>
      <c r="W185" t="str">
        <f t="shared" si="19"/>
        <v>piya Lal</v>
      </c>
      <c r="Y185">
        <f t="shared" ca="1" si="20"/>
        <v>28</v>
      </c>
      <c r="AA185" s="5" t="str">
        <f t="shared" ca="1" si="21"/>
        <v>No</v>
      </c>
      <c r="AC185" s="5" t="str">
        <f t="shared" si="22"/>
        <v>674831</v>
      </c>
      <c r="AE185" t="s">
        <v>15</v>
      </c>
      <c r="AG185">
        <v>28</v>
      </c>
      <c r="AI185" t="str">
        <f>REPLACE(F184, 1, SEARCH("@", F184), "")</f>
        <v>gmail.com</v>
      </c>
      <c r="AK185">
        <v>25</v>
      </c>
      <c r="AM185" t="s">
        <v>15</v>
      </c>
    </row>
    <row r="186" spans="1:39" ht="28.8" hidden="1">
      <c r="A186" t="s">
        <v>3595</v>
      </c>
      <c r="B186" t="s">
        <v>88</v>
      </c>
      <c r="C186" s="1">
        <v>35005</v>
      </c>
      <c r="D186" t="s">
        <v>10</v>
      </c>
      <c r="E186">
        <v>910148967808</v>
      </c>
      <c r="F186" t="s">
        <v>1852</v>
      </c>
      <c r="G186" s="2" t="s">
        <v>1853</v>
      </c>
      <c r="H186">
        <v>3391729940</v>
      </c>
      <c r="I186" t="s">
        <v>1854</v>
      </c>
      <c r="J186">
        <v>22</v>
      </c>
      <c r="K186" t="str">
        <f t="shared" ca="1" si="17"/>
        <v>&lt;30</v>
      </c>
      <c r="M186" t="str">
        <v>Ranbir</v>
      </c>
      <c r="N186" t="str">
        <v>Chahal</v>
      </c>
      <c r="P186" t="str">
        <v>Ranbir</v>
      </c>
      <c r="Q186" t="str">
        <v>Chahal</v>
      </c>
      <c r="S186" t="str" cm="1">
        <f t="array" ref="S186">_xlfn.IFS(OR(D185="M", D185="Male"), "Male", OR(D185="F", D185="Female"), "Female", TRUE, "Other")</f>
        <v>Male</v>
      </c>
      <c r="U186" t="str">
        <f t="shared" si="18"/>
        <v>ranbir Chahal</v>
      </c>
      <c r="W186" t="str">
        <f t="shared" si="19"/>
        <v>ranbir Chahal</v>
      </c>
      <c r="Y186">
        <f t="shared" ca="1" si="20"/>
        <v>22</v>
      </c>
      <c r="AA186" s="5" t="str">
        <f t="shared" ca="1" si="21"/>
        <v>No</v>
      </c>
      <c r="AC186" s="5" t="str">
        <f t="shared" si="22"/>
        <v>614409</v>
      </c>
      <c r="AE186" t="s">
        <v>15</v>
      </c>
      <c r="AG186">
        <v>22</v>
      </c>
      <c r="AI186" t="str">
        <f>REPLACE(F185, 1, SEARCH("@", F185), "")</f>
        <v>walla.info</v>
      </c>
      <c r="AK186">
        <v>25</v>
      </c>
      <c r="AM186" t="s">
        <v>15</v>
      </c>
    </row>
    <row r="187" spans="1:39" ht="43.2" hidden="1">
      <c r="A187" t="s">
        <v>3596</v>
      </c>
      <c r="B187" t="s">
        <v>1884</v>
      </c>
      <c r="C187" s="1">
        <v>24795</v>
      </c>
      <c r="D187" t="s">
        <v>28</v>
      </c>
      <c r="E187">
        <v>917699296444</v>
      </c>
      <c r="F187" t="s">
        <v>1885</v>
      </c>
      <c r="G187" s="2" t="s">
        <v>1886</v>
      </c>
      <c r="H187">
        <v>5369158557</v>
      </c>
      <c r="I187" t="s">
        <v>1887</v>
      </c>
      <c r="J187">
        <v>30</v>
      </c>
      <c r="K187" t="str">
        <f t="shared" ca="1" si="17"/>
        <v>30-60</v>
      </c>
      <c r="M187" t="str">
        <v>Biju</v>
      </c>
      <c r="N187" t="str">
        <v>Keer</v>
      </c>
      <c r="P187" t="str">
        <v>Biju</v>
      </c>
      <c r="Q187" t="str">
        <v>Keer</v>
      </c>
      <c r="S187" t="str" cm="1">
        <f t="array" ref="S187">_xlfn.IFS(OR(D186="M", D186="Male"), "Male", OR(D186="F", D186="Female"), "Female", TRUE, "Other")</f>
        <v>Other</v>
      </c>
      <c r="U187" t="str">
        <f t="shared" si="18"/>
        <v>biju Keer</v>
      </c>
      <c r="W187" t="str">
        <f t="shared" si="19"/>
        <v>biju Keer</v>
      </c>
      <c r="Y187">
        <f t="shared" ca="1" si="20"/>
        <v>30</v>
      </c>
      <c r="AA187" s="5" t="str">
        <f t="shared" ca="1" si="21"/>
        <v>No</v>
      </c>
      <c r="AC187" s="5" t="str">
        <f t="shared" si="22"/>
        <v>926456</v>
      </c>
      <c r="AE187" t="s">
        <v>10</v>
      </c>
      <c r="AG187">
        <v>30</v>
      </c>
      <c r="AI187" t="str">
        <f>REPLACE(F186, 1, SEARCH("@", F186), "")</f>
        <v>chawla.com</v>
      </c>
      <c r="AK187">
        <v>25</v>
      </c>
      <c r="AM187" t="s">
        <v>10</v>
      </c>
    </row>
    <row r="188" spans="1:39" ht="28.8">
      <c r="A188" t="s">
        <v>3597</v>
      </c>
      <c r="B188" t="s">
        <v>264</v>
      </c>
      <c r="C188" s="1">
        <v>20179</v>
      </c>
      <c r="D188" t="s">
        <v>10</v>
      </c>
      <c r="E188">
        <v>9142693765</v>
      </c>
      <c r="F188" t="s">
        <v>1942</v>
      </c>
      <c r="G188" s="2" t="s">
        <v>1943</v>
      </c>
      <c r="H188">
        <v>6276292266</v>
      </c>
      <c r="I188" t="s">
        <v>1944</v>
      </c>
      <c r="J188">
        <f ca="1">DATEDIF(C192, TODAY(), "y")</f>
        <v>56</v>
      </c>
      <c r="K188" t="str">
        <f t="shared" ca="1" si="17"/>
        <v>30-60</v>
      </c>
      <c r="M188" t="str">
        <v>Akarsh</v>
      </c>
      <c r="N188" t="str">
        <v>Kunda</v>
      </c>
      <c r="P188" t="str">
        <v>Akarsh</v>
      </c>
      <c r="Q188" t="str">
        <v>Kunda</v>
      </c>
      <c r="S188" t="str" cm="1">
        <f t="array" ref="S188">_xlfn.IFS(OR(D187="M", D187="Male"), "Male", OR(D187="F", D187="Female"), "Female", TRUE, "Other")</f>
        <v>Female</v>
      </c>
      <c r="U188" t="str">
        <f t="shared" si="18"/>
        <v>akarsh Kunda</v>
      </c>
      <c r="W188" t="str">
        <f t="shared" si="19"/>
        <v>akarsh Kunda</v>
      </c>
      <c r="Y188">
        <f t="shared" ca="1" si="20"/>
        <v>58</v>
      </c>
      <c r="AA188" s="5" t="str">
        <f t="shared" ca="1" si="21"/>
        <v>No</v>
      </c>
      <c r="AC188" s="5" t="str">
        <f t="shared" si="22"/>
        <v>172415</v>
      </c>
      <c r="AE188" t="s">
        <v>28</v>
      </c>
      <c r="AG188">
        <v>58</v>
      </c>
      <c r="AI188" t="str">
        <f>REPLACE(F187, 1, SEARCH("@", F187), "")</f>
        <v>yahoo.com</v>
      </c>
      <c r="AK188">
        <v>25</v>
      </c>
      <c r="AM188" t="s">
        <v>28</v>
      </c>
    </row>
    <row r="189" spans="1:39" ht="43.2" hidden="1">
      <c r="A189" t="s">
        <v>3598</v>
      </c>
      <c r="B189" t="s">
        <v>880</v>
      </c>
      <c r="C189" s="1">
        <v>26332</v>
      </c>
      <c r="D189" t="s">
        <v>15</v>
      </c>
      <c r="E189">
        <v>914609193511</v>
      </c>
      <c r="F189" t="s">
        <v>1966</v>
      </c>
      <c r="G189" s="2" t="s">
        <v>1967</v>
      </c>
      <c r="H189">
        <v>2157562641</v>
      </c>
      <c r="I189" t="s">
        <v>1968</v>
      </c>
      <c r="J189">
        <v>71</v>
      </c>
      <c r="K189" t="str">
        <f t="shared" ca="1" si="17"/>
        <v>&gt;60</v>
      </c>
      <c r="M189" t="str">
        <v>Riaan</v>
      </c>
      <c r="N189" t="str">
        <v>Boase</v>
      </c>
      <c r="P189" t="str">
        <v>Riaan</v>
      </c>
      <c r="Q189" t="str">
        <v>Boase</v>
      </c>
      <c r="S189" t="str" cm="1">
        <f t="array" ref="S189">_xlfn.IFS(OR(D188="M", D188="Male"), "Male", OR(D188="F", D188="Female"), "Female", TRUE, "Other")</f>
        <v>Other</v>
      </c>
      <c r="U189" t="str">
        <f t="shared" si="18"/>
        <v>riaan Boase</v>
      </c>
      <c r="W189" t="str">
        <f t="shared" si="19"/>
        <v>riaan Boase</v>
      </c>
      <c r="Y189">
        <f t="shared" ca="1" si="20"/>
        <v>71</v>
      </c>
      <c r="AA189" s="5" t="str">
        <f t="shared" ca="1" si="21"/>
        <v>Yes</v>
      </c>
      <c r="AC189" s="5" t="str">
        <f t="shared" si="22"/>
        <v>688501</v>
      </c>
      <c r="AE189" t="s">
        <v>10</v>
      </c>
      <c r="AG189">
        <v>71</v>
      </c>
      <c r="AI189" t="str">
        <f>REPLACE(F188, 1, SEARCH("@", F188), "")</f>
        <v>kala-khatri.com</v>
      </c>
      <c r="AK189">
        <v>25</v>
      </c>
      <c r="AM189" t="s">
        <v>10</v>
      </c>
    </row>
    <row r="190" spans="1:39" ht="28.8" hidden="1">
      <c r="A190" t="s">
        <v>3599</v>
      </c>
      <c r="B190" t="s">
        <v>1772</v>
      </c>
      <c r="C190" s="1">
        <v>25127</v>
      </c>
      <c r="D190" t="s">
        <v>28</v>
      </c>
      <c r="E190">
        <v>912422241983</v>
      </c>
      <c r="F190" t="s">
        <v>2006</v>
      </c>
      <c r="G190" s="2" t="s">
        <v>2007</v>
      </c>
      <c r="H190">
        <v>3509476511</v>
      </c>
      <c r="I190" t="s">
        <v>2008</v>
      </c>
      <c r="J190">
        <v>54</v>
      </c>
      <c r="K190" t="str">
        <f t="shared" ca="1" si="17"/>
        <v>30-60</v>
      </c>
      <c r="M190" t="str">
        <v>Stuvan</v>
      </c>
      <c r="N190" t="str">
        <v>Dhingra</v>
      </c>
      <c r="P190" t="str">
        <v>Stuvan</v>
      </c>
      <c r="Q190" t="str">
        <v>Dhingra</v>
      </c>
      <c r="S190" t="str" cm="1">
        <f t="array" ref="S190">_xlfn.IFS(OR(D189="M", D189="Male"), "Male", OR(D189="F", D189="Female"), "Female", TRUE, "Other")</f>
        <v>Male</v>
      </c>
      <c r="U190" t="str">
        <f t="shared" si="18"/>
        <v>stuvan Dhingra</v>
      </c>
      <c r="W190" t="str">
        <f t="shared" si="19"/>
        <v>stuvan Dhingra</v>
      </c>
      <c r="Y190">
        <f t="shared" ca="1" si="20"/>
        <v>54</v>
      </c>
      <c r="AA190" s="5" t="str">
        <f t="shared" ca="1" si="21"/>
        <v>No</v>
      </c>
      <c r="AC190" s="5" t="str">
        <f t="shared" si="22"/>
        <v>337461</v>
      </c>
      <c r="AE190" t="s">
        <v>15</v>
      </c>
      <c r="AG190">
        <v>54</v>
      </c>
      <c r="AI190" t="str">
        <f>REPLACE(F189, 1, SEARCH("@", F189), "")</f>
        <v>hotmail.com</v>
      </c>
      <c r="AK190">
        <v>25</v>
      </c>
      <c r="AM190" t="s">
        <v>15</v>
      </c>
    </row>
    <row r="191" spans="1:39">
      <c r="A191" t="s">
        <v>3600</v>
      </c>
      <c r="B191" t="s">
        <v>792</v>
      </c>
      <c r="C191" s="1">
        <v>32619</v>
      </c>
      <c r="D191" t="s">
        <v>15</v>
      </c>
      <c r="E191">
        <v>6896331812</v>
      </c>
      <c r="F191" t="s">
        <v>2029</v>
      </c>
      <c r="G191" t="s">
        <v>2030</v>
      </c>
      <c r="H191">
        <v>8508989774</v>
      </c>
      <c r="I191" t="s">
        <v>2031</v>
      </c>
      <c r="J191">
        <f ca="1">DATEDIF(C195, TODAY(), "y")</f>
        <v>25</v>
      </c>
      <c r="K191" t="str">
        <f t="shared" ca="1" si="17"/>
        <v>30-60</v>
      </c>
      <c r="M191" t="str">
        <v>Mamooty</v>
      </c>
      <c r="N191" t="str">
        <v>Sastry</v>
      </c>
      <c r="P191" t="str">
        <v>Mamooty</v>
      </c>
      <c r="Q191" t="str">
        <v>Sastry</v>
      </c>
      <c r="S191" t="str" cm="1">
        <f t="array" ref="S191">_xlfn.IFS(OR(D190="M", D190="Male"), "Male", OR(D190="F", D190="Female"), "Female", TRUE, "Other")</f>
        <v>Female</v>
      </c>
      <c r="U191" t="str">
        <f t="shared" si="18"/>
        <v>mamooty Sastry</v>
      </c>
      <c r="W191" t="str">
        <f t="shared" si="19"/>
        <v>mamooty Sastry</v>
      </c>
      <c r="Y191">
        <f t="shared" ca="1" si="20"/>
        <v>57</v>
      </c>
      <c r="AA191" s="5" t="str">
        <f t="shared" ca="1" si="21"/>
        <v>No</v>
      </c>
      <c r="AC191" s="5" t="str">
        <f t="shared" si="22"/>
        <v>842024</v>
      </c>
      <c r="AE191" t="s">
        <v>28</v>
      </c>
      <c r="AG191">
        <v>57</v>
      </c>
      <c r="AI191" t="str">
        <f>REPLACE(F190, 1, SEARCH("@", F190), "")</f>
        <v>sha.biz</v>
      </c>
      <c r="AK191">
        <v>25</v>
      </c>
      <c r="AM191" t="s">
        <v>28</v>
      </c>
    </row>
    <row r="192" spans="1:39" ht="28.8" hidden="1">
      <c r="A192" t="s">
        <v>3601</v>
      </c>
      <c r="B192" t="s">
        <v>44</v>
      </c>
      <c r="C192" s="1">
        <v>25442</v>
      </c>
      <c r="D192" t="s">
        <v>10</v>
      </c>
      <c r="E192">
        <v>7618687047</v>
      </c>
      <c r="F192" t="s">
        <v>2038</v>
      </c>
      <c r="G192" s="2" t="s">
        <v>2039</v>
      </c>
      <c r="H192">
        <v>9276405473</v>
      </c>
      <c r="I192" t="s">
        <v>2040</v>
      </c>
      <c r="J192">
        <v>36</v>
      </c>
      <c r="K192" t="str">
        <f t="shared" ca="1" si="17"/>
        <v>30-60</v>
      </c>
      <c r="M192" t="str">
        <v>Lakshit</v>
      </c>
      <c r="N192" t="str">
        <v>Ratti</v>
      </c>
      <c r="P192" t="str">
        <v>Lakshit</v>
      </c>
      <c r="Q192" t="str">
        <v>Ratti</v>
      </c>
      <c r="S192" t="str" cm="1">
        <f t="array" ref="S192">_xlfn.IFS(OR(D191="M", D191="Male"), "Male", OR(D191="F", D191="Female"), "Female", TRUE, "Other")</f>
        <v>Male</v>
      </c>
      <c r="U192" t="str">
        <f t="shared" si="18"/>
        <v>lakshit Ratti</v>
      </c>
      <c r="W192" t="str">
        <f t="shared" si="19"/>
        <v>lakshit Ratti</v>
      </c>
      <c r="Y192">
        <f t="shared" ca="1" si="20"/>
        <v>36</v>
      </c>
      <c r="AA192" s="5" t="str">
        <f t="shared" ca="1" si="21"/>
        <v>No</v>
      </c>
      <c r="AC192" s="5" t="str">
        <f t="shared" si="22"/>
        <v>626367</v>
      </c>
      <c r="AE192" t="s">
        <v>15</v>
      </c>
      <c r="AG192">
        <v>36</v>
      </c>
      <c r="AI192" t="str">
        <f>REPLACE(F191, 1, SEARCH("@", F191), "")</f>
        <v>kade.com</v>
      </c>
      <c r="AK192">
        <v>24</v>
      </c>
      <c r="AM192" t="s">
        <v>15</v>
      </c>
    </row>
    <row r="193" spans="1:39" ht="43.2" hidden="1">
      <c r="A193" t="s">
        <v>3602</v>
      </c>
      <c r="B193" t="s">
        <v>2171</v>
      </c>
      <c r="C193" s="1">
        <v>30762</v>
      </c>
      <c r="D193" t="s">
        <v>28</v>
      </c>
      <c r="E193">
        <v>7246163034</v>
      </c>
      <c r="F193" t="s">
        <v>2172</v>
      </c>
      <c r="G193" s="2" t="s">
        <v>2173</v>
      </c>
      <c r="H193">
        <v>5466289735</v>
      </c>
      <c r="I193" t="s">
        <v>2174</v>
      </c>
      <c r="J193">
        <v>56</v>
      </c>
      <c r="K193" t="str">
        <f t="shared" ca="1" si="17"/>
        <v>30-60</v>
      </c>
      <c r="M193" t="str">
        <v>Sahil</v>
      </c>
      <c r="N193" t="str">
        <v>Sethi</v>
      </c>
      <c r="P193" t="str">
        <v>Sahil</v>
      </c>
      <c r="Q193" t="str">
        <v>Sethi</v>
      </c>
      <c r="S193" t="str" cm="1">
        <f t="array" ref="S193">_xlfn.IFS(OR(D192="M", D192="Male"), "Male", OR(D192="F", D192="Female"), "Female", TRUE, "Other")</f>
        <v>Other</v>
      </c>
      <c r="U193" t="str">
        <f t="shared" si="18"/>
        <v>sahil Sethi</v>
      </c>
      <c r="W193" t="str">
        <f t="shared" si="19"/>
        <v>sahil Sethi</v>
      </c>
      <c r="Y193">
        <f t="shared" ca="1" si="20"/>
        <v>56</v>
      </c>
      <c r="AA193" s="5" t="str">
        <f t="shared" ca="1" si="21"/>
        <v>No</v>
      </c>
      <c r="AC193" s="5" t="str">
        <f t="shared" si="22"/>
        <v>423302</v>
      </c>
      <c r="AE193" t="s">
        <v>10</v>
      </c>
      <c r="AG193">
        <v>56</v>
      </c>
      <c r="AI193" t="str">
        <f>REPLACE(F192, 1, SEARCH("@", F192), "")</f>
        <v>yahoo.com</v>
      </c>
      <c r="AK193">
        <v>24</v>
      </c>
      <c r="AM193" t="s">
        <v>10</v>
      </c>
    </row>
    <row r="194" spans="1:39">
      <c r="A194" t="s">
        <v>3603</v>
      </c>
      <c r="B194" t="s">
        <v>238</v>
      </c>
      <c r="C194" s="1">
        <v>24308</v>
      </c>
      <c r="D194" t="s">
        <v>10</v>
      </c>
      <c r="E194">
        <v>1349317967</v>
      </c>
      <c r="F194" t="s">
        <v>2199</v>
      </c>
      <c r="G194" t="s">
        <v>2200</v>
      </c>
      <c r="H194">
        <v>3546463989</v>
      </c>
      <c r="I194" t="s">
        <v>2201</v>
      </c>
      <c r="J194">
        <f ca="1">DATEDIF(C198, TODAY(), "y")</f>
        <v>27</v>
      </c>
      <c r="K194" t="str">
        <f t="shared" ca="1" si="17"/>
        <v>30-60</v>
      </c>
      <c r="M194" t="str">
        <v>Amira</v>
      </c>
      <c r="N194" t="str">
        <v>Dani</v>
      </c>
      <c r="P194" t="str">
        <v>Amira</v>
      </c>
      <c r="Q194" t="str">
        <v>Dani</v>
      </c>
      <c r="S194" t="str" cm="1">
        <f t="array" ref="S194">_xlfn.IFS(OR(D193="M", D193="Male"), "Male", OR(D193="F", D193="Female"), "Female", TRUE, "Other")</f>
        <v>Female</v>
      </c>
      <c r="U194" t="str">
        <f t="shared" si="18"/>
        <v>amira Dani</v>
      </c>
      <c r="W194" t="str">
        <f t="shared" si="19"/>
        <v>amira Dani</v>
      </c>
      <c r="Y194">
        <f t="shared" ca="1" si="20"/>
        <v>42</v>
      </c>
      <c r="AA194" s="5" t="str">
        <f t="shared" ca="1" si="21"/>
        <v>No</v>
      </c>
      <c r="AC194" s="5" t="str">
        <f t="shared" si="22"/>
        <v>417996</v>
      </c>
      <c r="AE194" t="s">
        <v>28</v>
      </c>
      <c r="AG194">
        <v>42</v>
      </c>
      <c r="AI194" t="str">
        <f>REPLACE(F193, 1, SEARCH("@", F193), "")</f>
        <v>atwal.org</v>
      </c>
      <c r="AK194">
        <v>24</v>
      </c>
      <c r="AM194" t="s">
        <v>28</v>
      </c>
    </row>
    <row r="195" spans="1:39" ht="43.2" hidden="1">
      <c r="A195" t="s">
        <v>3604</v>
      </c>
      <c r="B195" t="s">
        <v>1182</v>
      </c>
      <c r="C195" s="1">
        <v>36718</v>
      </c>
      <c r="D195" t="s">
        <v>10</v>
      </c>
      <c r="E195">
        <v>9900536693</v>
      </c>
      <c r="F195" t="s">
        <v>2360</v>
      </c>
      <c r="G195" s="2" t="s">
        <v>2361</v>
      </c>
      <c r="H195">
        <v>3370089423</v>
      </c>
      <c r="I195" t="s">
        <v>2362</v>
      </c>
      <c r="J195">
        <v>59</v>
      </c>
      <c r="K195" t="str">
        <f t="shared" ca="1" si="17"/>
        <v>30-60</v>
      </c>
      <c r="M195" t="str">
        <v>Nitara</v>
      </c>
      <c r="N195" t="str">
        <v>Batra</v>
      </c>
      <c r="P195" t="str">
        <v>Nitara</v>
      </c>
      <c r="Q195" t="str">
        <v>Batra</v>
      </c>
      <c r="S195" t="str" cm="1">
        <f t="array" ref="S195">_xlfn.IFS(OR(D194="M", D194="Male"), "Male", OR(D194="F", D194="Female"), "Female", TRUE, "Other")</f>
        <v>Other</v>
      </c>
      <c r="U195" t="str">
        <f t="shared" si="18"/>
        <v>nitara Batra</v>
      </c>
      <c r="W195" t="str">
        <f t="shared" si="19"/>
        <v>nitara Batra</v>
      </c>
      <c r="Y195">
        <f t="shared" ca="1" si="20"/>
        <v>59</v>
      </c>
      <c r="AA195" s="5" t="str">
        <f t="shared" ca="1" si="21"/>
        <v>No</v>
      </c>
      <c r="AC195" s="5" t="str">
        <f t="shared" si="22"/>
        <v>506989</v>
      </c>
      <c r="AE195" t="s">
        <v>10</v>
      </c>
      <c r="AG195">
        <v>59</v>
      </c>
      <c r="AI195" t="str">
        <f>REPLACE(F194, 1, SEARCH("@", F194), "")</f>
        <v>mammen-rege.com</v>
      </c>
      <c r="AK195">
        <v>24</v>
      </c>
      <c r="AM195" t="s">
        <v>10</v>
      </c>
    </row>
    <row r="196" spans="1:39" ht="28.8" hidden="1">
      <c r="A196" t="s">
        <v>3605</v>
      </c>
      <c r="B196" t="s">
        <v>1133</v>
      </c>
      <c r="C196" s="1">
        <v>23956</v>
      </c>
      <c r="D196" t="s">
        <v>28</v>
      </c>
      <c r="E196">
        <v>918959103852</v>
      </c>
      <c r="F196" t="s">
        <v>2370</v>
      </c>
      <c r="G196" s="2" t="s">
        <v>2371</v>
      </c>
      <c r="H196">
        <v>9594038955</v>
      </c>
      <c r="I196" t="s">
        <v>2372</v>
      </c>
      <c r="J196">
        <v>25</v>
      </c>
      <c r="K196" t="str">
        <f t="shared" ref="K196:K208" ca="1" si="27">IF(Y196&lt;30,"&lt;30",IF(Y196&lt;=60,"30-60","&gt;60"))</f>
        <v>&lt;30</v>
      </c>
      <c r="M196" t="str">
        <v>Krish</v>
      </c>
      <c r="N196" t="str">
        <v>Khosla</v>
      </c>
      <c r="P196" t="str">
        <v>Krish</v>
      </c>
      <c r="Q196" t="str">
        <v>Khosla</v>
      </c>
      <c r="S196" t="str" cm="1">
        <f t="array" ref="S196">_xlfn.IFS(OR(D195="M", D195="Male"), "Male", OR(D195="F", D195="Female"), "Female", TRUE, "Other")</f>
        <v>Other</v>
      </c>
      <c r="U196" t="str">
        <f t="shared" ref="U196:U208" si="28">A195&amp;" "&amp;B195</f>
        <v>krish Khosla</v>
      </c>
      <c r="W196" t="str">
        <f t="shared" ref="W196:W208" si="29">CONCATENATE(A195," ",B195)</f>
        <v>krish Khosla</v>
      </c>
      <c r="Y196">
        <f ca="1">DATEDIF(C195, TODAY(), "y")</f>
        <v>25</v>
      </c>
      <c r="AA196" s="5" t="str">
        <f t="shared" ref="AA196:AA208" ca="1" si="30">IF(Y196 &gt; 60, "Yes", "No")</f>
        <v>No</v>
      </c>
      <c r="AC196" s="5" t="str">
        <f t="shared" ref="AC196:AC208" si="31">RIGHT(TRIM(G195), 6)</f>
        <v>259310</v>
      </c>
      <c r="AE196" t="s">
        <v>10</v>
      </c>
      <c r="AG196">
        <v>25</v>
      </c>
      <c r="AI196" t="str">
        <f>REPLACE(F195, 1, SEARCH("@", F195), "")</f>
        <v>chopra.com</v>
      </c>
      <c r="AK196">
        <v>23</v>
      </c>
      <c r="AM196" t="s">
        <v>10</v>
      </c>
    </row>
    <row r="197" spans="1:39">
      <c r="A197" t="s">
        <v>3606</v>
      </c>
      <c r="B197" t="s">
        <v>553</v>
      </c>
      <c r="C197" s="1">
        <v>28873</v>
      </c>
      <c r="D197" t="s">
        <v>10</v>
      </c>
      <c r="E197">
        <v>6694947155</v>
      </c>
      <c r="F197" t="s">
        <v>2440</v>
      </c>
      <c r="G197" t="s">
        <v>2441</v>
      </c>
      <c r="H197">
        <v>4503754807</v>
      </c>
      <c r="I197" t="s">
        <v>2442</v>
      </c>
      <c r="J197">
        <f ca="1">DATEDIF(C201, TODAY(), "y")</f>
        <v>68</v>
      </c>
      <c r="K197" t="str">
        <f t="shared" ca="1" si="27"/>
        <v>30-60</v>
      </c>
      <c r="M197" t="str">
        <v>Hazel</v>
      </c>
      <c r="N197" t="str">
        <v>Kala</v>
      </c>
      <c r="P197" t="str">
        <v>Hazel</v>
      </c>
      <c r="Q197" t="str">
        <v>Kala</v>
      </c>
      <c r="S197" t="str" cm="1">
        <f t="array" ref="S197">_xlfn.IFS(OR(D196="M", D196="Male"), "Male", OR(D196="F", D196="Female"), "Female", TRUE, "Other")</f>
        <v>Female</v>
      </c>
      <c r="U197" t="str">
        <f t="shared" si="28"/>
        <v>hazel Kala</v>
      </c>
      <c r="W197" t="str">
        <f t="shared" si="29"/>
        <v>hazel Kala</v>
      </c>
      <c r="Y197">
        <f ca="1">DATEDIF(C196, TODAY(), "y")</f>
        <v>60</v>
      </c>
      <c r="AA197" s="5" t="str">
        <f t="shared" ca="1" si="30"/>
        <v>No</v>
      </c>
      <c r="AC197" s="5" t="str">
        <f t="shared" si="31"/>
        <v>963994</v>
      </c>
      <c r="AE197" t="s">
        <v>28</v>
      </c>
      <c r="AG197">
        <v>60</v>
      </c>
      <c r="AI197" t="str">
        <f>REPLACE(F196, 1, SEARCH("@", F196), "")</f>
        <v>gmail.com</v>
      </c>
      <c r="AK197">
        <v>23</v>
      </c>
      <c r="AM197" t="s">
        <v>28</v>
      </c>
    </row>
    <row r="198" spans="1:39" ht="43.2" hidden="1">
      <c r="A198" t="s">
        <v>3607</v>
      </c>
      <c r="B198" t="s">
        <v>663</v>
      </c>
      <c r="C198" s="1">
        <v>36203</v>
      </c>
      <c r="D198" t="s">
        <v>28</v>
      </c>
      <c r="E198">
        <v>916785984440</v>
      </c>
      <c r="F198" t="s">
        <v>2456</v>
      </c>
      <c r="G198" s="2" t="s">
        <v>2457</v>
      </c>
      <c r="H198">
        <v>9663309235</v>
      </c>
      <c r="I198" t="s">
        <v>2458</v>
      </c>
      <c r="J198">
        <v>47</v>
      </c>
      <c r="K198" t="str">
        <f t="shared" ca="1" si="27"/>
        <v>30-60</v>
      </c>
      <c r="M198" t="str">
        <v>Shamik</v>
      </c>
      <c r="N198" t="str">
        <v>Lad</v>
      </c>
      <c r="P198" t="str">
        <v>Shamik</v>
      </c>
      <c r="Q198" t="str">
        <v>Lad</v>
      </c>
      <c r="S198" t="str" cm="1">
        <f t="array" ref="S198">_xlfn.IFS(OR(D197="M", D197="Male"), "Male", OR(D197="F", D197="Female"), "Female", TRUE, "Other")</f>
        <v>Other</v>
      </c>
      <c r="U198" t="str">
        <f t="shared" si="28"/>
        <v>shamik Lad</v>
      </c>
      <c r="W198" t="str">
        <f t="shared" si="29"/>
        <v>shamik Lad</v>
      </c>
      <c r="Y198">
        <f ca="1">DATEDIF(C197, TODAY(), "y")</f>
        <v>47</v>
      </c>
      <c r="AA198" s="5" t="str">
        <f t="shared" ca="1" si="30"/>
        <v>No</v>
      </c>
      <c r="AC198" s="5" t="str">
        <f t="shared" si="31"/>
        <v>896539</v>
      </c>
      <c r="AE198" t="s">
        <v>10</v>
      </c>
      <c r="AG198">
        <v>47</v>
      </c>
      <c r="AI198" t="str">
        <f>REPLACE(F197, 1, SEARCH("@", F197), "")</f>
        <v>badami.com</v>
      </c>
      <c r="AK198">
        <v>23</v>
      </c>
      <c r="AM198" t="s">
        <v>10</v>
      </c>
    </row>
    <row r="199" spans="1:39">
      <c r="A199" t="s">
        <v>3608</v>
      </c>
      <c r="B199" t="s">
        <v>2482</v>
      </c>
      <c r="C199" s="1">
        <v>31489</v>
      </c>
      <c r="D199" t="s">
        <v>28</v>
      </c>
      <c r="E199">
        <v>7449924687</v>
      </c>
      <c r="F199" t="s">
        <v>2483</v>
      </c>
      <c r="G199" t="s">
        <v>2484</v>
      </c>
      <c r="H199">
        <v>9649666811</v>
      </c>
      <c r="I199" t="s">
        <v>2485</v>
      </c>
      <c r="J199">
        <f t="shared" ref="J199:J201" ca="1" si="32">DATEDIF(C203, TODAY(), "y")</f>
        <v>73</v>
      </c>
      <c r="K199" t="str">
        <f t="shared" ca="1" si="27"/>
        <v>&lt;30</v>
      </c>
      <c r="M199" t="str">
        <v>Onkar</v>
      </c>
      <c r="N199" t="str">
        <v>Das</v>
      </c>
      <c r="P199" t="str">
        <v>Onkar</v>
      </c>
      <c r="Q199" t="str">
        <v>Das</v>
      </c>
      <c r="S199" t="str" cm="1">
        <f t="array" ref="S199">_xlfn.IFS(OR(D198="M", D198="Male"), "Male", OR(D198="F", D198="Female"), "Female", TRUE, "Other")</f>
        <v>Female</v>
      </c>
      <c r="U199" t="str">
        <f t="shared" si="28"/>
        <v>onkar Das</v>
      </c>
      <c r="W199" t="str">
        <f t="shared" si="29"/>
        <v>onkar Das</v>
      </c>
      <c r="Y199">
        <f ca="1">DATEDIF(C198, TODAY(), "y")</f>
        <v>27</v>
      </c>
      <c r="AA199" s="5" t="str">
        <f t="shared" ca="1" si="30"/>
        <v>No</v>
      </c>
      <c r="AC199" s="5" t="str">
        <f t="shared" si="31"/>
        <v>230299</v>
      </c>
      <c r="AE199" t="s">
        <v>28</v>
      </c>
      <c r="AG199">
        <v>27</v>
      </c>
      <c r="AI199" t="str">
        <f>REPLACE(F198, 1, SEARCH("@", F198), "")</f>
        <v>gmail.com</v>
      </c>
      <c r="AK199">
        <v>23</v>
      </c>
      <c r="AM199" t="s">
        <v>28</v>
      </c>
    </row>
    <row r="200" spans="1:39">
      <c r="A200" t="s">
        <v>3609</v>
      </c>
      <c r="B200" t="s">
        <v>568</v>
      </c>
      <c r="C200" s="1">
        <v>30405</v>
      </c>
      <c r="D200" t="s">
        <v>28</v>
      </c>
      <c r="E200">
        <v>4469888665</v>
      </c>
      <c r="F200" t="s">
        <v>2539</v>
      </c>
      <c r="G200" t="s">
        <v>2540</v>
      </c>
      <c r="H200">
        <v>1801130852</v>
      </c>
      <c r="I200" t="s">
        <v>2541</v>
      </c>
      <c r="J200">
        <f t="shared" ca="1" si="32"/>
        <v>74</v>
      </c>
      <c r="K200" t="str">
        <f t="shared" ca="1" si="27"/>
        <v>30-60</v>
      </c>
      <c r="M200" t="str">
        <v>Pihu</v>
      </c>
      <c r="N200" t="str">
        <v>Saraf</v>
      </c>
      <c r="P200" t="str">
        <v>Pihu</v>
      </c>
      <c r="Q200" t="str">
        <v>Saraf</v>
      </c>
      <c r="S200" t="str" cm="1">
        <f t="array" ref="S200">_xlfn.IFS(OR(D199="M", D199="Male"), "Male", OR(D199="F", D199="Female"), "Female", TRUE, "Other")</f>
        <v>Female</v>
      </c>
      <c r="U200" t="str">
        <f t="shared" si="28"/>
        <v>pihu Saraf</v>
      </c>
      <c r="W200" t="str">
        <f t="shared" si="29"/>
        <v>pihu Saraf</v>
      </c>
      <c r="Y200">
        <f ca="1">DATEDIF(C199, TODAY(), "y")</f>
        <v>40</v>
      </c>
      <c r="AA200" s="5" t="str">
        <f t="shared" ca="1" si="30"/>
        <v>No</v>
      </c>
      <c r="AC200" s="5" t="str">
        <f t="shared" si="31"/>
        <v>026908</v>
      </c>
      <c r="AE200" t="s">
        <v>28</v>
      </c>
      <c r="AG200">
        <v>40</v>
      </c>
      <c r="AI200" t="str">
        <f>REPLACE(F199, 1, SEARCH("@", F199), "")</f>
        <v>sundaram.org</v>
      </c>
      <c r="AK200">
        <v>23</v>
      </c>
      <c r="AM200" t="s">
        <v>28</v>
      </c>
    </row>
    <row r="201" spans="1:39" ht="28.8">
      <c r="A201" t="s">
        <v>3610</v>
      </c>
      <c r="B201" t="s">
        <v>1823</v>
      </c>
      <c r="C201" s="1">
        <v>20926</v>
      </c>
      <c r="D201" t="s">
        <v>15</v>
      </c>
      <c r="E201">
        <v>917591700343</v>
      </c>
      <c r="F201" t="s">
        <v>2578</v>
      </c>
      <c r="G201" s="2" t="s">
        <v>2579</v>
      </c>
      <c r="H201">
        <v>1902060713</v>
      </c>
      <c r="I201" t="s">
        <v>2580</v>
      </c>
      <c r="J201">
        <f t="shared" ca="1" si="32"/>
        <v>55</v>
      </c>
      <c r="K201" t="str">
        <f t="shared" ca="1" si="27"/>
        <v>30-60</v>
      </c>
      <c r="M201" t="str">
        <v>Miraya</v>
      </c>
      <c r="N201" t="str">
        <v>Yohannan</v>
      </c>
      <c r="P201" t="str">
        <v>Miraya</v>
      </c>
      <c r="Q201" t="str">
        <v>Yohannan</v>
      </c>
      <c r="S201" t="str" cm="1">
        <f t="array" ref="S201">_xlfn.IFS(OR(D200="M", D200="Male"), "Male", OR(D200="F", D200="Female"), "Female", TRUE, "Other")</f>
        <v>Female</v>
      </c>
      <c r="U201" t="str">
        <f t="shared" si="28"/>
        <v>miraya Yohannan</v>
      </c>
      <c r="W201" t="str">
        <f t="shared" si="29"/>
        <v>miraya Yohannan</v>
      </c>
      <c r="Y201">
        <f ca="1">DATEDIF(C200, TODAY(), "y")</f>
        <v>43</v>
      </c>
      <c r="AA201" s="5" t="str">
        <f t="shared" ca="1" si="30"/>
        <v>No</v>
      </c>
      <c r="AC201" s="5" t="str">
        <f t="shared" si="31"/>
        <v>491532</v>
      </c>
      <c r="AE201" t="s">
        <v>28</v>
      </c>
      <c r="AG201">
        <v>43</v>
      </c>
      <c r="AI201" t="str">
        <f>REPLACE(F200, 1, SEARCH("@", F200), "")</f>
        <v>gmail.com</v>
      </c>
      <c r="AK201">
        <v>22</v>
      </c>
      <c r="AM201" t="s">
        <v>28</v>
      </c>
    </row>
    <row r="202" spans="1:39" ht="28.8" hidden="1">
      <c r="A202" t="s">
        <v>3611</v>
      </c>
      <c r="B202" t="s">
        <v>1310</v>
      </c>
      <c r="C202" s="1">
        <v>21378</v>
      </c>
      <c r="D202" t="s">
        <v>10</v>
      </c>
      <c r="E202">
        <v>9067718536</v>
      </c>
      <c r="F202" t="s">
        <v>2833</v>
      </c>
      <c r="G202" s="2" t="s">
        <v>2834</v>
      </c>
      <c r="H202">
        <v>7071279717</v>
      </c>
      <c r="I202" t="s">
        <v>2835</v>
      </c>
      <c r="J202">
        <v>68</v>
      </c>
      <c r="K202" t="str">
        <f t="shared" ca="1" si="27"/>
        <v>&gt;60</v>
      </c>
      <c r="M202" t="str">
        <v>Diya</v>
      </c>
      <c r="N202" t="str">
        <v>Subramaniam</v>
      </c>
      <c r="P202" t="str">
        <v>Diya</v>
      </c>
      <c r="Q202" t="str">
        <v>Subramaniam</v>
      </c>
      <c r="S202" t="str" cm="1">
        <f t="array" ref="S202">_xlfn.IFS(OR(D201="M", D201="Male"), "Male", OR(D201="F", D201="Female"), "Female", TRUE, "Other")</f>
        <v>Male</v>
      </c>
      <c r="U202" t="str">
        <f t="shared" si="28"/>
        <v>diya Subramaniam</v>
      </c>
      <c r="W202" t="str">
        <f t="shared" si="29"/>
        <v>diya Subramaniam</v>
      </c>
      <c r="Y202">
        <f ca="1">DATEDIF(C201, TODAY(), "y")</f>
        <v>68</v>
      </c>
      <c r="AA202" s="5" t="str">
        <f t="shared" ca="1" si="30"/>
        <v>Yes</v>
      </c>
      <c r="AC202" s="5" t="str">
        <f t="shared" si="31"/>
        <v>115411</v>
      </c>
      <c r="AE202" t="s">
        <v>15</v>
      </c>
      <c r="AG202">
        <v>68</v>
      </c>
      <c r="AI202" t="str">
        <f>REPLACE(F201, 1, SEARCH("@", F201), "")</f>
        <v>yahoo.com</v>
      </c>
      <c r="AK202">
        <v>22</v>
      </c>
      <c r="AM202" t="s">
        <v>15</v>
      </c>
    </row>
    <row r="203" spans="1:39" ht="43.2" hidden="1">
      <c r="A203" t="s">
        <v>3612</v>
      </c>
      <c r="B203" t="s">
        <v>1387</v>
      </c>
      <c r="C203" s="1">
        <v>19390</v>
      </c>
      <c r="D203" t="s">
        <v>15</v>
      </c>
      <c r="E203">
        <v>1797519378</v>
      </c>
      <c r="F203" t="s">
        <v>2845</v>
      </c>
      <c r="G203" s="2" t="s">
        <v>2846</v>
      </c>
      <c r="H203">
        <v>6461526532</v>
      </c>
      <c r="I203" t="s">
        <v>2847</v>
      </c>
      <c r="J203">
        <v>67</v>
      </c>
      <c r="K203" t="str">
        <f t="shared" ca="1" si="27"/>
        <v>&gt;60</v>
      </c>
      <c r="M203" t="str">
        <v>Shanaya</v>
      </c>
      <c r="N203" t="str">
        <v>Sarin</v>
      </c>
      <c r="P203" t="str">
        <v>Shanaya</v>
      </c>
      <c r="Q203" t="str">
        <v>Sarin</v>
      </c>
      <c r="S203" t="str" cm="1">
        <f t="array" ref="S203">_xlfn.IFS(OR(D202="M", D202="Male"), "Male", OR(D202="F", D202="Female"), "Female", TRUE, "Other")</f>
        <v>Other</v>
      </c>
      <c r="U203" t="str">
        <f t="shared" si="28"/>
        <v>shanaya Sarin</v>
      </c>
      <c r="W203" t="str">
        <f t="shared" si="29"/>
        <v>shanaya Sarin</v>
      </c>
      <c r="Y203">
        <f ca="1">DATEDIF(C202, TODAY(), "y")</f>
        <v>67</v>
      </c>
      <c r="AA203" s="5" t="str">
        <f t="shared" ca="1" si="30"/>
        <v>Yes</v>
      </c>
      <c r="AC203" s="5" t="str">
        <f t="shared" si="31"/>
        <v>667752</v>
      </c>
      <c r="AE203" t="s">
        <v>10</v>
      </c>
      <c r="AG203">
        <v>67</v>
      </c>
      <c r="AI203" t="str">
        <f>REPLACE(F202, 1, SEARCH("@", F202), "")</f>
        <v>sarma.com</v>
      </c>
      <c r="AK203">
        <v>21</v>
      </c>
      <c r="AM203" t="s">
        <v>10</v>
      </c>
    </row>
    <row r="204" spans="1:39" ht="28.8" hidden="1">
      <c r="A204" t="s">
        <v>3613</v>
      </c>
      <c r="B204" t="s">
        <v>2605</v>
      </c>
      <c r="C204" s="1">
        <v>19025</v>
      </c>
      <c r="D204" t="s">
        <v>10</v>
      </c>
      <c r="E204">
        <v>6358699021</v>
      </c>
      <c r="F204" t="s">
        <v>2852</v>
      </c>
      <c r="G204" s="2" t="s">
        <v>2853</v>
      </c>
      <c r="H204">
        <v>2074988495</v>
      </c>
      <c r="I204" t="s">
        <v>2854</v>
      </c>
      <c r="J204">
        <v>73</v>
      </c>
      <c r="K204" t="str">
        <f t="shared" ca="1" si="27"/>
        <v>&gt;60</v>
      </c>
      <c r="M204" t="str">
        <v>Nitya</v>
      </c>
      <c r="N204" t="str">
        <v>Ghose</v>
      </c>
      <c r="P204" t="str">
        <v>Nitya</v>
      </c>
      <c r="Q204" t="str">
        <v>Ghose</v>
      </c>
      <c r="S204" t="str" cm="1">
        <f t="array" ref="S204">_xlfn.IFS(OR(D203="M", D203="Male"), "Male", OR(D203="F", D203="Female"), "Female", TRUE, "Other")</f>
        <v>Male</v>
      </c>
      <c r="U204" t="str">
        <f t="shared" si="28"/>
        <v>nitya Ghose</v>
      </c>
      <c r="W204" t="str">
        <f t="shared" si="29"/>
        <v>nitya Ghose</v>
      </c>
      <c r="Y204">
        <f ca="1">DATEDIF(C203, TODAY(), "y")</f>
        <v>73</v>
      </c>
      <c r="AA204" s="5" t="str">
        <f t="shared" ca="1" si="30"/>
        <v>Yes</v>
      </c>
      <c r="AC204" s="5" t="str">
        <f t="shared" si="31"/>
        <v>213461</v>
      </c>
      <c r="AE204" t="s">
        <v>15</v>
      </c>
      <c r="AG204">
        <v>73</v>
      </c>
      <c r="AI204" t="str">
        <f>REPLACE(F203, 1, SEARCH("@", F203), "")</f>
        <v>yahoo.com</v>
      </c>
      <c r="AK204">
        <v>21</v>
      </c>
      <c r="AM204" t="s">
        <v>15</v>
      </c>
    </row>
    <row r="205" spans="1:39" ht="43.2" hidden="1">
      <c r="A205" t="s">
        <v>3614</v>
      </c>
      <c r="B205" t="s">
        <v>925</v>
      </c>
      <c r="C205" s="1">
        <v>25782</v>
      </c>
      <c r="D205" t="s">
        <v>28</v>
      </c>
      <c r="E205">
        <v>108867974</v>
      </c>
      <c r="F205" t="s">
        <v>2896</v>
      </c>
      <c r="G205" s="2" t="s">
        <v>2897</v>
      </c>
      <c r="H205">
        <v>4963379226</v>
      </c>
      <c r="I205" t="s">
        <v>2898</v>
      </c>
      <c r="J205">
        <v>74</v>
      </c>
      <c r="K205" t="str">
        <f t="shared" ca="1" si="27"/>
        <v>&gt;60</v>
      </c>
      <c r="M205" t="str">
        <v>Saira</v>
      </c>
      <c r="N205" t="str">
        <v>Warrior</v>
      </c>
      <c r="P205" t="str">
        <v>Saira</v>
      </c>
      <c r="Q205" t="str">
        <v>Warrior</v>
      </c>
      <c r="S205" t="str" cm="1">
        <f t="array" ref="S205">_xlfn.IFS(OR(D204="M", D204="Male"), "Male", OR(D204="F", D204="Female"), "Female", TRUE, "Other")</f>
        <v>Other</v>
      </c>
      <c r="U205" t="str">
        <f t="shared" si="28"/>
        <v>saira Warrior</v>
      </c>
      <c r="W205" t="str">
        <f t="shared" si="29"/>
        <v>saira Warrior</v>
      </c>
      <c r="Y205">
        <f ca="1">DATEDIF(C204, TODAY(), "y")</f>
        <v>74</v>
      </c>
      <c r="AA205" s="5" t="str">
        <f t="shared" ca="1" si="30"/>
        <v>Yes</v>
      </c>
      <c r="AC205" s="5" t="str">
        <f t="shared" si="31"/>
        <v>259836</v>
      </c>
      <c r="AE205" t="s">
        <v>10</v>
      </c>
      <c r="AG205">
        <v>74</v>
      </c>
      <c r="AI205" t="str">
        <f>REPLACE(F204, 1, SEARCH("@", F204), "")</f>
        <v>johal.biz</v>
      </c>
      <c r="AK205">
        <v>21</v>
      </c>
      <c r="AM205" t="s">
        <v>10</v>
      </c>
    </row>
    <row r="206" spans="1:39" ht="43.2">
      <c r="A206" t="s">
        <v>3615</v>
      </c>
      <c r="B206" t="s">
        <v>1048</v>
      </c>
      <c r="C206" s="1">
        <v>25983</v>
      </c>
      <c r="D206" t="s">
        <v>28</v>
      </c>
      <c r="E206">
        <v>915024694841</v>
      </c>
      <c r="F206" t="s">
        <v>2986</v>
      </c>
      <c r="G206" s="2" t="s">
        <v>2987</v>
      </c>
      <c r="H206">
        <v>7837921316</v>
      </c>
      <c r="I206" t="s">
        <v>2988</v>
      </c>
      <c r="J206">
        <f t="shared" ref="J206:J207" ca="1" si="33">DATEDIF(C210, TODAY(), "y")</f>
        <v>126</v>
      </c>
      <c r="K206" t="str">
        <f t="shared" ca="1" si="27"/>
        <v>30-60</v>
      </c>
      <c r="M206" t="str">
        <v>Nehmat</v>
      </c>
      <c r="N206" t="str">
        <v>Ahuja</v>
      </c>
      <c r="P206" t="str">
        <v>Nehmat</v>
      </c>
      <c r="Q206" t="str">
        <v>Ahuja</v>
      </c>
      <c r="S206" t="str" cm="1">
        <f t="array" ref="S206">_xlfn.IFS(OR(D205="M", D205="Male"), "Male", OR(D205="F", D205="Female"), "Female", TRUE, "Other")</f>
        <v>Female</v>
      </c>
      <c r="U206" t="str">
        <f t="shared" si="28"/>
        <v>nehmat Ahuja</v>
      </c>
      <c r="W206" t="str">
        <f t="shared" si="29"/>
        <v>nehmat Ahuja</v>
      </c>
      <c r="Y206">
        <f ca="1">DATEDIF(C205, TODAY(), "y")</f>
        <v>55</v>
      </c>
      <c r="AA206" s="5" t="str">
        <f t="shared" ca="1" si="30"/>
        <v>No</v>
      </c>
      <c r="AC206" s="5" t="str">
        <f t="shared" si="31"/>
        <v>333477</v>
      </c>
      <c r="AE206" t="s">
        <v>28</v>
      </c>
      <c r="AG206">
        <v>55</v>
      </c>
      <c r="AI206" t="str">
        <f>REPLACE(F205, 1, SEARCH("@", F205), "")</f>
        <v>hotmail.com</v>
      </c>
      <c r="AK206">
        <v>21</v>
      </c>
      <c r="AM206" t="s">
        <v>28</v>
      </c>
    </row>
    <row r="207" spans="1:39" ht="43.2">
      <c r="A207" t="s">
        <v>3616</v>
      </c>
      <c r="B207" t="s">
        <v>64</v>
      </c>
      <c r="C207" s="1">
        <v>18183</v>
      </c>
      <c r="D207" t="s">
        <v>10</v>
      </c>
      <c r="E207">
        <v>912177491176</v>
      </c>
      <c r="F207" t="s">
        <v>3385</v>
      </c>
      <c r="G207" s="2" t="s">
        <v>3386</v>
      </c>
      <c r="H207">
        <v>8603903674</v>
      </c>
      <c r="I207" t="s">
        <v>3387</v>
      </c>
      <c r="J207">
        <f t="shared" ca="1" si="33"/>
        <v>126</v>
      </c>
      <c r="K207" t="str">
        <f t="shared" ca="1" si="27"/>
        <v>30-60</v>
      </c>
      <c r="M207" t="str">
        <v>Aniruddh</v>
      </c>
      <c r="N207" t="str">
        <v>Khanna</v>
      </c>
      <c r="P207" t="str">
        <v>Aniruddh</v>
      </c>
      <c r="Q207" t="str">
        <v>Khanna</v>
      </c>
      <c r="S207" t="str" cm="1">
        <f t="array" ref="S207">_xlfn.IFS(OR(D206="M", D206="Male"), "Male", OR(D206="F", D206="Female"), "Female", TRUE, "Other")</f>
        <v>Female</v>
      </c>
      <c r="U207" t="str">
        <f t="shared" si="28"/>
        <v>aniruddh Khanna</v>
      </c>
      <c r="W207" t="str">
        <f t="shared" si="29"/>
        <v>aniruddh Khanna</v>
      </c>
      <c r="Y207">
        <f ca="1">DATEDIF(C206, TODAY(), "y")</f>
        <v>55</v>
      </c>
      <c r="AA207" s="5" t="str">
        <f t="shared" ca="1" si="30"/>
        <v>No</v>
      </c>
      <c r="AC207" s="5" t="str">
        <f t="shared" si="31"/>
        <v>370858</v>
      </c>
      <c r="AE207" t="s">
        <v>28</v>
      </c>
      <c r="AG207">
        <v>55</v>
      </c>
      <c r="AI207" t="str">
        <f>REPLACE(F206, 1, SEARCH("@", F206), "")</f>
        <v>bhatnagar.com</v>
      </c>
      <c r="AK207">
        <v>20</v>
      </c>
      <c r="AM207" t="s">
        <v>28</v>
      </c>
    </row>
    <row r="208" spans="1:39" hidden="1">
      <c r="J208">
        <v>76</v>
      </c>
      <c r="K208" t="str">
        <f t="shared" ca="1" si="27"/>
        <v>&gt;60</v>
      </c>
      <c r="M208" t="str">
        <v>Prerak</v>
      </c>
      <c r="N208" t="str">
        <v>Ramaswamy</v>
      </c>
      <c r="P208" t="str">
        <v>Prerak</v>
      </c>
      <c r="Q208" t="str">
        <v>Ramaswamy</v>
      </c>
      <c r="S208" t="str" cm="1">
        <f t="array" ref="S208">_xlfn.IFS(OR(D207="M", D207="Male"), "Male", OR(D207="F", D207="Female"), "Female", TRUE, "Other")</f>
        <v>Other</v>
      </c>
      <c r="U208" t="str">
        <f t="shared" si="28"/>
        <v>prerak Ramaswamy</v>
      </c>
      <c r="W208" t="str">
        <f t="shared" si="29"/>
        <v>prerak Ramaswamy</v>
      </c>
      <c r="Y208">
        <f ca="1">DATEDIF(C207, TODAY(), "y")</f>
        <v>76</v>
      </c>
      <c r="AA208" s="5" t="str">
        <f t="shared" ca="1" si="30"/>
        <v>Yes</v>
      </c>
      <c r="AC208" s="5" t="str">
        <f t="shared" si="31"/>
        <v>295083</v>
      </c>
      <c r="AE208" t="s">
        <v>10</v>
      </c>
      <c r="AG208">
        <v>76</v>
      </c>
      <c r="AI208" t="str">
        <f>REPLACE(F207, 1, SEARCH("@", F207), "")</f>
        <v>yahoo.com</v>
      </c>
      <c r="AK208">
        <v>20</v>
      </c>
      <c r="AM208" t="s">
        <v>10</v>
      </c>
    </row>
    <row r="209" spans="40:40">
      <c r="AN209" s="6"/>
    </row>
    <row r="210" spans="40:40">
      <c r="AN210" s="6"/>
    </row>
    <row r="211" spans="40:40">
      <c r="AN211" s="6"/>
    </row>
    <row r="212" spans="40:40">
      <c r="AN212" s="6"/>
    </row>
    <row r="213" spans="40:40">
      <c r="AN213" s="6"/>
    </row>
    <row r="214" spans="40:40">
      <c r="AN214" s="6"/>
    </row>
    <row r="215" spans="40:40">
      <c r="AN215" s="6"/>
    </row>
    <row r="216" spans="40:40">
      <c r="AN216" s="6"/>
    </row>
    <row r="217" spans="40:40">
      <c r="AN217" s="6"/>
    </row>
    <row r="218" spans="40:40">
      <c r="AN218" s="6"/>
    </row>
    <row r="219" spans="40:40">
      <c r="AN219" s="6"/>
    </row>
    <row r="220" spans="40:40">
      <c r="AN220" s="6"/>
    </row>
    <row r="221" spans="40:40">
      <c r="AN221" s="6"/>
    </row>
    <row r="222" spans="40:40">
      <c r="AN222" s="6"/>
    </row>
    <row r="223" spans="40:40">
      <c r="AN223" s="6"/>
    </row>
    <row r="224" spans="40:40">
      <c r="AN224" s="6"/>
    </row>
    <row r="225" spans="40:40">
      <c r="AN225" s="6"/>
    </row>
    <row r="226" spans="40:40">
      <c r="AN226" s="6"/>
    </row>
    <row r="227" spans="40:40">
      <c r="AN227" s="6"/>
    </row>
    <row r="228" spans="40:40">
      <c r="AN228" s="6"/>
    </row>
    <row r="229" spans="40:40">
      <c r="AN229" s="6"/>
    </row>
    <row r="230" spans="40:40">
      <c r="AN230" s="6"/>
    </row>
    <row r="231" spans="40:40">
      <c r="AN231" s="6"/>
    </row>
    <row r="232" spans="40:40">
      <c r="AN232" s="6"/>
    </row>
    <row r="233" spans="40:40">
      <c r="AN233" s="6"/>
    </row>
    <row r="234" spans="40:40">
      <c r="AN234" s="6"/>
    </row>
    <row r="235" spans="40:40">
      <c r="AN235" s="6"/>
    </row>
    <row r="236" spans="40:40">
      <c r="AN236" s="6"/>
    </row>
    <row r="237" spans="40:40">
      <c r="AN237" s="6"/>
    </row>
    <row r="238" spans="40:40">
      <c r="AN238" s="6"/>
    </row>
    <row r="239" spans="40:40">
      <c r="AN239" s="6"/>
    </row>
    <row r="240" spans="40:40">
      <c r="AN240" s="6"/>
    </row>
    <row r="241" spans="40:40">
      <c r="AN241" s="6"/>
    </row>
    <row r="242" spans="40:40">
      <c r="AN242" s="6"/>
    </row>
    <row r="243" spans="40:40">
      <c r="AN243" s="6"/>
    </row>
    <row r="244" spans="40:40">
      <c r="AN244" s="6"/>
    </row>
    <row r="245" spans="40:40">
      <c r="AN245" s="6"/>
    </row>
    <row r="246" spans="40:40">
      <c r="AN246" s="6"/>
    </row>
  </sheetData>
  <autoFilter ref="AM2:AM208" xr:uid="{68D4C8CB-B362-4876-9502-AEF96178B950}">
    <filterColumn colId="0">
      <filters>
        <filter val="Female"/>
      </filters>
    </filterColumn>
  </autoFilter>
  <sortState xmlns:xlrd2="http://schemas.microsoft.com/office/spreadsheetml/2017/richdata2" ref="AK3:AK208">
    <sortCondition descending="1" ref="AK3:AK208"/>
  </sortState>
  <conditionalFormatting sqref="AG3:AH208">
    <cfRule type="cellIs" dxfId="0" priority="1" operator="greaterThan">
      <formula>65</formula>
    </cfRule>
  </conditionalFormatting>
  <dataValidations disablePrompts="1" count="1">
    <dataValidation type="list" allowBlank="1" showInputMessage="1" showErrorMessage="1" sqref="AE2" xr:uid="{AD6B661F-ED55-4200-A330-B82E64DFC08A}">
      <formula1>"male, female, other"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250EE-D1AE-443F-BD55-B1DA90C0B7CF}">
  <dimension ref="A1:I1001"/>
  <sheetViews>
    <sheetView topLeftCell="A995" workbookViewId="0">
      <selection sqref="A1:I1001"/>
    </sheetView>
  </sheetViews>
  <sheetFormatPr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3412</v>
      </c>
      <c r="B2" t="s">
        <v>9</v>
      </c>
      <c r="C2" s="1">
        <v>18448</v>
      </c>
      <c r="D2" t="s">
        <v>10</v>
      </c>
      <c r="E2">
        <v>4332181960</v>
      </c>
      <c r="F2" t="s">
        <v>11</v>
      </c>
      <c r="G2" t="s">
        <v>12</v>
      </c>
      <c r="H2">
        <v>6155940781</v>
      </c>
      <c r="I2" t="s">
        <v>13</v>
      </c>
    </row>
    <row r="3" spans="1:9" ht="100.8">
      <c r="A3" t="s">
        <v>3413</v>
      </c>
      <c r="B3" t="s">
        <v>14</v>
      </c>
      <c r="C3" s="1">
        <v>18965</v>
      </c>
      <c r="D3" t="s">
        <v>15</v>
      </c>
      <c r="E3">
        <v>3413164752</v>
      </c>
      <c r="F3" t="s">
        <v>16</v>
      </c>
      <c r="G3" s="2" t="s">
        <v>17</v>
      </c>
      <c r="H3">
        <v>9537672423</v>
      </c>
      <c r="I3" t="s">
        <v>18</v>
      </c>
    </row>
    <row r="4" spans="1:9" ht="86.4">
      <c r="A4" t="s">
        <v>3414</v>
      </c>
      <c r="B4" t="s">
        <v>19</v>
      </c>
      <c r="C4" s="1">
        <v>30093</v>
      </c>
      <c r="D4" t="s">
        <v>15</v>
      </c>
      <c r="E4">
        <v>910122691669</v>
      </c>
      <c r="F4" t="s">
        <v>20</v>
      </c>
      <c r="G4" s="2" t="s">
        <v>21</v>
      </c>
      <c r="H4">
        <v>2528809570</v>
      </c>
      <c r="I4" t="s">
        <v>22</v>
      </c>
    </row>
    <row r="5" spans="1:9" ht="86.4">
      <c r="A5" t="s">
        <v>3415</v>
      </c>
      <c r="B5" t="s">
        <v>23</v>
      </c>
      <c r="C5" s="1">
        <v>38109</v>
      </c>
      <c r="D5" t="s">
        <v>10</v>
      </c>
      <c r="E5">
        <v>918227824896</v>
      </c>
      <c r="F5" t="s">
        <v>24</v>
      </c>
      <c r="G5" s="2" t="s">
        <v>25</v>
      </c>
      <c r="H5">
        <v>5183473829</v>
      </c>
      <c r="I5" t="s">
        <v>26</v>
      </c>
    </row>
    <row r="6" spans="1:9" ht="72">
      <c r="A6" t="s">
        <v>3416</v>
      </c>
      <c r="B6" t="s">
        <v>27</v>
      </c>
      <c r="C6" s="1">
        <v>26633</v>
      </c>
      <c r="D6" t="s">
        <v>28</v>
      </c>
      <c r="E6">
        <v>6701065133</v>
      </c>
      <c r="F6" t="s">
        <v>29</v>
      </c>
      <c r="G6" s="2" t="s">
        <v>30</v>
      </c>
      <c r="H6">
        <v>6064746872</v>
      </c>
      <c r="I6" t="s">
        <v>31</v>
      </c>
    </row>
    <row r="7" spans="1:9" ht="72">
      <c r="A7" t="s">
        <v>3417</v>
      </c>
      <c r="B7" t="s">
        <v>32</v>
      </c>
      <c r="C7" s="1">
        <v>19073</v>
      </c>
      <c r="D7" t="s">
        <v>15</v>
      </c>
      <c r="E7">
        <v>7882081219</v>
      </c>
      <c r="F7" t="s">
        <v>33</v>
      </c>
      <c r="G7" s="2" t="s">
        <v>34</v>
      </c>
      <c r="H7">
        <v>799118384</v>
      </c>
      <c r="I7" t="s">
        <v>35</v>
      </c>
    </row>
    <row r="8" spans="1:9" ht="86.4">
      <c r="A8" t="s">
        <v>3413</v>
      </c>
      <c r="B8" t="s">
        <v>36</v>
      </c>
      <c r="C8" s="1">
        <v>33030</v>
      </c>
      <c r="D8" t="s">
        <v>15</v>
      </c>
      <c r="E8">
        <v>8084124118</v>
      </c>
      <c r="F8" t="s">
        <v>37</v>
      </c>
      <c r="G8" s="2" t="s">
        <v>38</v>
      </c>
      <c r="H8">
        <v>1128059826</v>
      </c>
      <c r="I8" t="s">
        <v>39</v>
      </c>
    </row>
    <row r="9" spans="1:9" ht="72">
      <c r="A9" t="s">
        <v>3418</v>
      </c>
      <c r="B9" t="s">
        <v>40</v>
      </c>
      <c r="C9" s="1">
        <v>20381</v>
      </c>
      <c r="D9" t="s">
        <v>15</v>
      </c>
      <c r="E9">
        <v>8692322602</v>
      </c>
      <c r="F9" t="s">
        <v>41</v>
      </c>
      <c r="G9" s="2" t="s">
        <v>42</v>
      </c>
      <c r="H9">
        <v>5414586850</v>
      </c>
      <c r="I9" t="s">
        <v>43</v>
      </c>
    </row>
    <row r="10" spans="1:9">
      <c r="A10" t="s">
        <v>3419</v>
      </c>
      <c r="B10" t="s">
        <v>44</v>
      </c>
      <c r="C10" s="1">
        <v>37373</v>
      </c>
      <c r="D10" t="s">
        <v>10</v>
      </c>
      <c r="E10">
        <v>6981693406</v>
      </c>
      <c r="F10" t="s">
        <v>45</v>
      </c>
      <c r="G10" t="s">
        <v>46</v>
      </c>
      <c r="H10">
        <v>4680443699</v>
      </c>
      <c r="I10" t="s">
        <v>47</v>
      </c>
    </row>
    <row r="11" spans="1:9" ht="72">
      <c r="A11" t="s">
        <v>3420</v>
      </c>
      <c r="B11" t="s">
        <v>48</v>
      </c>
      <c r="C11" s="1">
        <v>22044</v>
      </c>
      <c r="D11" t="s">
        <v>15</v>
      </c>
      <c r="E11">
        <v>1489513433</v>
      </c>
      <c r="F11" t="s">
        <v>49</v>
      </c>
      <c r="G11" s="2" t="s">
        <v>50</v>
      </c>
      <c r="H11">
        <v>3172788957</v>
      </c>
      <c r="I11" t="s">
        <v>51</v>
      </c>
    </row>
    <row r="12" spans="1:9" ht="86.4">
      <c r="A12" t="s">
        <v>3421</v>
      </c>
      <c r="B12" t="s">
        <v>52</v>
      </c>
      <c r="C12" s="1">
        <v>23972</v>
      </c>
      <c r="D12" t="s">
        <v>10</v>
      </c>
      <c r="E12">
        <v>4873471434</v>
      </c>
      <c r="F12" t="s">
        <v>53</v>
      </c>
      <c r="G12" s="2" t="s">
        <v>54</v>
      </c>
      <c r="H12">
        <v>6705466889</v>
      </c>
      <c r="I12" t="s">
        <v>55</v>
      </c>
    </row>
    <row r="13" spans="1:9">
      <c r="A13" t="s">
        <v>3422</v>
      </c>
      <c r="B13" t="s">
        <v>56</v>
      </c>
      <c r="C13" s="1">
        <v>37664</v>
      </c>
      <c r="D13" t="s">
        <v>10</v>
      </c>
      <c r="E13">
        <v>2729806990</v>
      </c>
      <c r="F13" t="s">
        <v>57</v>
      </c>
      <c r="G13" t="s">
        <v>58</v>
      </c>
      <c r="H13">
        <v>1003309232</v>
      </c>
      <c r="I13" t="s">
        <v>59</v>
      </c>
    </row>
    <row r="14" spans="1:9" ht="86.4">
      <c r="A14" t="s">
        <v>3423</v>
      </c>
      <c r="B14" t="s">
        <v>60</v>
      </c>
      <c r="C14" s="1">
        <v>32920</v>
      </c>
      <c r="D14" t="s">
        <v>10</v>
      </c>
      <c r="E14">
        <v>1241904966</v>
      </c>
      <c r="F14" t="s">
        <v>61</v>
      </c>
      <c r="G14" s="2" t="s">
        <v>62</v>
      </c>
      <c r="H14">
        <v>6284987769</v>
      </c>
      <c r="I14" t="s">
        <v>63</v>
      </c>
    </row>
    <row r="15" spans="1:9" ht="86.4">
      <c r="A15" t="s">
        <v>3424</v>
      </c>
      <c r="B15" t="s">
        <v>64</v>
      </c>
      <c r="C15" s="1">
        <v>34434</v>
      </c>
      <c r="D15" t="s">
        <v>15</v>
      </c>
      <c r="E15">
        <v>5075273545</v>
      </c>
      <c r="F15" t="s">
        <v>65</v>
      </c>
      <c r="G15" s="2" t="s">
        <v>66</v>
      </c>
      <c r="H15">
        <v>7885685574</v>
      </c>
      <c r="I15" t="s">
        <v>67</v>
      </c>
    </row>
    <row r="16" spans="1:9" ht="72">
      <c r="A16" t="s">
        <v>3425</v>
      </c>
      <c r="B16" t="s">
        <v>68</v>
      </c>
      <c r="C16" s="1">
        <v>34981</v>
      </c>
      <c r="D16" t="s">
        <v>10</v>
      </c>
      <c r="E16">
        <v>913374989413</v>
      </c>
      <c r="F16" t="s">
        <v>69</v>
      </c>
      <c r="G16" s="2" t="s">
        <v>70</v>
      </c>
      <c r="H16">
        <v>5204711671</v>
      </c>
      <c r="I16" t="s">
        <v>71</v>
      </c>
    </row>
    <row r="17" spans="1:9" ht="100.8">
      <c r="A17" t="s">
        <v>3426</v>
      </c>
      <c r="B17" t="s">
        <v>72</v>
      </c>
      <c r="C17" s="1">
        <v>36827</v>
      </c>
      <c r="D17" t="s">
        <v>28</v>
      </c>
      <c r="E17">
        <v>9993867749</v>
      </c>
      <c r="F17" t="s">
        <v>73</v>
      </c>
      <c r="G17" s="2" t="s">
        <v>74</v>
      </c>
      <c r="H17">
        <v>3447134936</v>
      </c>
      <c r="I17" t="s">
        <v>75</v>
      </c>
    </row>
    <row r="18" spans="1:9" ht="57.6">
      <c r="A18" t="s">
        <v>3427</v>
      </c>
      <c r="B18" t="s">
        <v>76</v>
      </c>
      <c r="C18" s="1">
        <v>32616</v>
      </c>
      <c r="D18" t="s">
        <v>15</v>
      </c>
      <c r="E18">
        <v>9471746488</v>
      </c>
      <c r="F18" t="s">
        <v>77</v>
      </c>
      <c r="G18" s="2" t="s">
        <v>78</v>
      </c>
      <c r="H18">
        <v>9671756551</v>
      </c>
      <c r="I18" t="s">
        <v>79</v>
      </c>
    </row>
    <row r="19" spans="1:9" ht="72">
      <c r="A19" t="s">
        <v>3428</v>
      </c>
      <c r="B19" t="s">
        <v>80</v>
      </c>
      <c r="C19" s="1">
        <v>20015</v>
      </c>
      <c r="D19" t="s">
        <v>15</v>
      </c>
      <c r="E19">
        <v>4516808760</v>
      </c>
      <c r="F19" t="s">
        <v>81</v>
      </c>
      <c r="G19" s="2" t="s">
        <v>82</v>
      </c>
      <c r="H19">
        <v>1712748467</v>
      </c>
      <c r="I19" t="s">
        <v>83</v>
      </c>
    </row>
    <row r="20" spans="1:9" ht="86.4">
      <c r="A20" t="s">
        <v>3429</v>
      </c>
      <c r="B20" t="s">
        <v>84</v>
      </c>
      <c r="C20" s="1">
        <v>21219</v>
      </c>
      <c r="D20" t="s">
        <v>15</v>
      </c>
      <c r="E20">
        <v>914658404499</v>
      </c>
      <c r="F20" t="s">
        <v>85</v>
      </c>
      <c r="G20" s="2" t="s">
        <v>86</v>
      </c>
      <c r="H20">
        <v>6270289517</v>
      </c>
      <c r="I20" t="s">
        <v>87</v>
      </c>
    </row>
    <row r="21" spans="1:9">
      <c r="A21" t="s">
        <v>3430</v>
      </c>
      <c r="B21" t="s">
        <v>88</v>
      </c>
      <c r="C21" s="1">
        <v>37251</v>
      </c>
      <c r="D21" t="s">
        <v>15</v>
      </c>
      <c r="E21">
        <v>5961586578</v>
      </c>
      <c r="F21" t="s">
        <v>89</v>
      </c>
      <c r="G21" t="s">
        <v>90</v>
      </c>
      <c r="H21">
        <v>9222196937</v>
      </c>
      <c r="I21" t="s">
        <v>91</v>
      </c>
    </row>
    <row r="22" spans="1:9" ht="72">
      <c r="A22" t="s">
        <v>3431</v>
      </c>
      <c r="B22" t="s">
        <v>92</v>
      </c>
      <c r="C22" s="1">
        <v>37826</v>
      </c>
      <c r="D22" t="s">
        <v>15</v>
      </c>
      <c r="E22">
        <v>4821759464</v>
      </c>
      <c r="F22" t="s">
        <v>93</v>
      </c>
      <c r="G22" s="2" t="s">
        <v>94</v>
      </c>
      <c r="H22">
        <v>9533942104</v>
      </c>
      <c r="I22" t="s">
        <v>95</v>
      </c>
    </row>
    <row r="23" spans="1:9" ht="72">
      <c r="A23" t="s">
        <v>3429</v>
      </c>
      <c r="B23" t="s">
        <v>96</v>
      </c>
      <c r="C23" s="1">
        <v>22192</v>
      </c>
      <c r="D23" t="s">
        <v>10</v>
      </c>
      <c r="E23">
        <v>912858842474</v>
      </c>
      <c r="F23" t="s">
        <v>97</v>
      </c>
      <c r="G23" s="2" t="s">
        <v>98</v>
      </c>
      <c r="H23">
        <v>7098593174</v>
      </c>
      <c r="I23" t="s">
        <v>99</v>
      </c>
    </row>
    <row r="24" spans="1:9">
      <c r="A24" t="s">
        <v>3432</v>
      </c>
      <c r="B24" t="s">
        <v>100</v>
      </c>
      <c r="C24" s="1">
        <v>31187</v>
      </c>
      <c r="D24" t="s">
        <v>10</v>
      </c>
      <c r="E24">
        <v>916758692617</v>
      </c>
      <c r="F24" t="s">
        <v>101</v>
      </c>
      <c r="G24" t="s">
        <v>102</v>
      </c>
      <c r="H24">
        <v>9005329318</v>
      </c>
      <c r="I24" t="s">
        <v>103</v>
      </c>
    </row>
    <row r="25" spans="1:9" ht="86.4">
      <c r="A25" t="s">
        <v>3433</v>
      </c>
      <c r="B25" t="s">
        <v>104</v>
      </c>
      <c r="C25" s="1">
        <v>21423</v>
      </c>
      <c r="D25" t="s">
        <v>15</v>
      </c>
      <c r="E25">
        <v>918421020539</v>
      </c>
      <c r="F25" t="s">
        <v>105</v>
      </c>
      <c r="G25" s="2" t="s">
        <v>106</v>
      </c>
      <c r="H25">
        <v>766177115</v>
      </c>
      <c r="I25" t="s">
        <v>107</v>
      </c>
    </row>
    <row r="26" spans="1:9" ht="72">
      <c r="A26" t="s">
        <v>3434</v>
      </c>
      <c r="B26" t="s">
        <v>108</v>
      </c>
      <c r="C26" s="1">
        <v>27294</v>
      </c>
      <c r="D26" t="s">
        <v>10</v>
      </c>
      <c r="E26">
        <v>8478961183</v>
      </c>
      <c r="F26" t="s">
        <v>109</v>
      </c>
      <c r="G26" s="2" t="s">
        <v>110</v>
      </c>
      <c r="H26">
        <v>6152809885</v>
      </c>
      <c r="I26" t="s">
        <v>111</v>
      </c>
    </row>
    <row r="27" spans="1:9" ht="72">
      <c r="A27" t="s">
        <v>3435</v>
      </c>
      <c r="B27" t="s">
        <v>112</v>
      </c>
      <c r="C27" s="1">
        <v>32191</v>
      </c>
      <c r="D27" t="s">
        <v>15</v>
      </c>
      <c r="E27">
        <v>3273158514</v>
      </c>
      <c r="F27" t="s">
        <v>113</v>
      </c>
      <c r="G27" s="2" t="s">
        <v>114</v>
      </c>
      <c r="H27">
        <v>8366752545</v>
      </c>
      <c r="I27" t="s">
        <v>115</v>
      </c>
    </row>
    <row r="28" spans="1:9" ht="86.4">
      <c r="A28" t="s">
        <v>3436</v>
      </c>
      <c r="B28" t="s">
        <v>116</v>
      </c>
      <c r="C28" s="1">
        <v>24590</v>
      </c>
      <c r="D28" t="s">
        <v>10</v>
      </c>
      <c r="E28">
        <v>6797643815</v>
      </c>
      <c r="F28" t="s">
        <v>117</v>
      </c>
      <c r="G28" s="2" t="s">
        <v>118</v>
      </c>
      <c r="H28">
        <v>7622683885</v>
      </c>
      <c r="I28" t="s">
        <v>119</v>
      </c>
    </row>
    <row r="29" spans="1:9" ht="72">
      <c r="A29" t="s">
        <v>3437</v>
      </c>
      <c r="B29" t="s">
        <v>120</v>
      </c>
      <c r="C29" s="1">
        <v>27878</v>
      </c>
      <c r="D29" t="s">
        <v>10</v>
      </c>
      <c r="E29">
        <v>6416052975</v>
      </c>
      <c r="F29" t="s">
        <v>121</v>
      </c>
      <c r="G29" s="2" t="s">
        <v>122</v>
      </c>
      <c r="H29">
        <v>3124329212</v>
      </c>
      <c r="I29" t="s">
        <v>123</v>
      </c>
    </row>
    <row r="30" spans="1:9" ht="72">
      <c r="A30" t="s">
        <v>3438</v>
      </c>
      <c r="B30" t="s">
        <v>124</v>
      </c>
      <c r="C30" s="1">
        <v>33416</v>
      </c>
      <c r="D30" t="s">
        <v>10</v>
      </c>
      <c r="E30">
        <v>2717744905</v>
      </c>
      <c r="F30" t="s">
        <v>125</v>
      </c>
      <c r="G30" s="2" t="s">
        <v>126</v>
      </c>
      <c r="H30">
        <v>1820377889</v>
      </c>
      <c r="I30" t="s">
        <v>127</v>
      </c>
    </row>
    <row r="31" spans="1:9" ht="72">
      <c r="A31" t="s">
        <v>3439</v>
      </c>
      <c r="B31" t="s">
        <v>128</v>
      </c>
      <c r="C31" s="1">
        <v>37443</v>
      </c>
      <c r="D31" t="s">
        <v>10</v>
      </c>
      <c r="E31">
        <v>5151864492</v>
      </c>
      <c r="F31" t="s">
        <v>129</v>
      </c>
      <c r="G31" s="2" t="s">
        <v>130</v>
      </c>
      <c r="H31">
        <v>2357332214</v>
      </c>
      <c r="I31" t="s">
        <v>131</v>
      </c>
    </row>
    <row r="32" spans="1:9" ht="72">
      <c r="A32" t="s">
        <v>3440</v>
      </c>
      <c r="B32" t="s">
        <v>132</v>
      </c>
      <c r="C32" s="1">
        <v>27190</v>
      </c>
      <c r="D32" t="s">
        <v>28</v>
      </c>
      <c r="E32">
        <v>912292706537</v>
      </c>
      <c r="F32" t="s">
        <v>133</v>
      </c>
      <c r="G32" s="2" t="s">
        <v>134</v>
      </c>
      <c r="H32">
        <v>7581814124</v>
      </c>
      <c r="I32" t="s">
        <v>135</v>
      </c>
    </row>
    <row r="33" spans="1:9" ht="72">
      <c r="A33" t="s">
        <v>3441</v>
      </c>
      <c r="B33" t="s">
        <v>136</v>
      </c>
      <c r="C33" s="1">
        <v>27680</v>
      </c>
      <c r="D33" t="s">
        <v>15</v>
      </c>
      <c r="E33">
        <v>5361530515</v>
      </c>
      <c r="F33" t="s">
        <v>137</v>
      </c>
      <c r="G33" s="2" t="s">
        <v>138</v>
      </c>
      <c r="H33">
        <v>3697117980</v>
      </c>
      <c r="I33" t="s">
        <v>139</v>
      </c>
    </row>
    <row r="34" spans="1:9" ht="57.6">
      <c r="A34" t="s">
        <v>3442</v>
      </c>
      <c r="B34" t="s">
        <v>140</v>
      </c>
      <c r="C34" s="1">
        <v>28180</v>
      </c>
      <c r="D34" t="s">
        <v>28</v>
      </c>
      <c r="E34">
        <v>911851888880</v>
      </c>
      <c r="F34" t="s">
        <v>141</v>
      </c>
      <c r="G34" s="2" t="s">
        <v>142</v>
      </c>
      <c r="H34">
        <v>2217043030</v>
      </c>
      <c r="I34" t="s">
        <v>143</v>
      </c>
    </row>
    <row r="35" spans="1:9" ht="72">
      <c r="A35" t="s">
        <v>3443</v>
      </c>
      <c r="B35" t="s">
        <v>144</v>
      </c>
      <c r="C35" s="1">
        <v>24938</v>
      </c>
      <c r="D35" t="s">
        <v>10</v>
      </c>
      <c r="E35">
        <v>541566765</v>
      </c>
      <c r="F35" t="s">
        <v>145</v>
      </c>
      <c r="G35" s="2" t="s">
        <v>146</v>
      </c>
      <c r="H35">
        <v>2757059640</v>
      </c>
      <c r="I35" t="s">
        <v>147</v>
      </c>
    </row>
    <row r="36" spans="1:9" ht="72">
      <c r="A36" t="s">
        <v>3444</v>
      </c>
      <c r="B36" t="s">
        <v>148</v>
      </c>
      <c r="C36" s="1">
        <v>32928</v>
      </c>
      <c r="D36" t="s">
        <v>28</v>
      </c>
      <c r="E36">
        <v>7021355690</v>
      </c>
      <c r="F36" t="s">
        <v>149</v>
      </c>
      <c r="G36" s="2" t="s">
        <v>150</v>
      </c>
      <c r="H36">
        <v>7394731217</v>
      </c>
      <c r="I36" t="s">
        <v>151</v>
      </c>
    </row>
    <row r="37" spans="1:9" ht="57.6">
      <c r="A37" t="s">
        <v>3445</v>
      </c>
      <c r="B37" t="s">
        <v>152</v>
      </c>
      <c r="C37" s="1">
        <v>25282</v>
      </c>
      <c r="D37" t="s">
        <v>15</v>
      </c>
      <c r="E37">
        <v>912583132370</v>
      </c>
      <c r="F37" t="s">
        <v>153</v>
      </c>
      <c r="G37" s="2" t="s">
        <v>154</v>
      </c>
      <c r="H37">
        <v>5289226801</v>
      </c>
      <c r="I37" t="s">
        <v>155</v>
      </c>
    </row>
    <row r="38" spans="1:9" ht="86.4">
      <c r="A38" t="s">
        <v>3446</v>
      </c>
      <c r="B38" t="s">
        <v>156</v>
      </c>
      <c r="C38" s="1">
        <v>24887</v>
      </c>
      <c r="D38" t="s">
        <v>15</v>
      </c>
      <c r="E38">
        <v>914384249818</v>
      </c>
      <c r="F38" t="s">
        <v>157</v>
      </c>
      <c r="G38" s="2" t="s">
        <v>158</v>
      </c>
      <c r="H38">
        <v>6471027677</v>
      </c>
      <c r="I38" t="s">
        <v>159</v>
      </c>
    </row>
    <row r="39" spans="1:9" ht="72">
      <c r="A39" t="s">
        <v>3447</v>
      </c>
      <c r="B39" t="s">
        <v>160</v>
      </c>
      <c r="C39" s="1">
        <v>36733</v>
      </c>
      <c r="D39" t="s">
        <v>10</v>
      </c>
      <c r="E39">
        <v>8815371473</v>
      </c>
      <c r="F39" t="s">
        <v>161</v>
      </c>
      <c r="G39" s="2" t="s">
        <v>162</v>
      </c>
      <c r="H39">
        <v>8733950047</v>
      </c>
      <c r="I39" t="s">
        <v>163</v>
      </c>
    </row>
    <row r="40" spans="1:9" ht="100.8">
      <c r="A40" t="s">
        <v>3448</v>
      </c>
      <c r="B40" t="s">
        <v>164</v>
      </c>
      <c r="C40" s="1">
        <v>36812</v>
      </c>
      <c r="D40" t="s">
        <v>28</v>
      </c>
      <c r="E40">
        <v>5060983584</v>
      </c>
      <c r="F40" t="s">
        <v>165</v>
      </c>
      <c r="G40" s="2" t="s">
        <v>166</v>
      </c>
      <c r="H40">
        <v>7872982595</v>
      </c>
      <c r="I40" t="s">
        <v>167</v>
      </c>
    </row>
    <row r="41" spans="1:9" ht="72">
      <c r="A41" t="s">
        <v>3449</v>
      </c>
      <c r="B41" t="s">
        <v>168</v>
      </c>
      <c r="C41" s="1">
        <v>31818</v>
      </c>
      <c r="D41" t="s">
        <v>28</v>
      </c>
      <c r="E41">
        <v>7055169409</v>
      </c>
      <c r="F41" t="s">
        <v>169</v>
      </c>
      <c r="G41" s="2" t="s">
        <v>170</v>
      </c>
      <c r="H41">
        <v>6368970283</v>
      </c>
      <c r="I41" t="s">
        <v>171</v>
      </c>
    </row>
    <row r="42" spans="1:9" ht="72">
      <c r="A42" t="s">
        <v>3450</v>
      </c>
      <c r="B42" t="s">
        <v>172</v>
      </c>
      <c r="C42" s="1">
        <v>26632</v>
      </c>
      <c r="D42" t="s">
        <v>28</v>
      </c>
      <c r="E42">
        <v>4973348434</v>
      </c>
      <c r="F42" t="s">
        <v>173</v>
      </c>
      <c r="G42" s="2" t="s">
        <v>174</v>
      </c>
      <c r="H42">
        <v>7473384842</v>
      </c>
      <c r="I42" t="s">
        <v>175</v>
      </c>
    </row>
    <row r="43" spans="1:9">
      <c r="A43" t="s">
        <v>3412</v>
      </c>
      <c r="B43" t="s">
        <v>176</v>
      </c>
      <c r="C43" s="1">
        <v>19131</v>
      </c>
      <c r="D43" t="s">
        <v>15</v>
      </c>
      <c r="E43">
        <v>916571208267</v>
      </c>
      <c r="F43" t="s">
        <v>177</v>
      </c>
      <c r="G43" t="s">
        <v>178</v>
      </c>
      <c r="H43">
        <v>4991547887</v>
      </c>
      <c r="I43" t="s">
        <v>179</v>
      </c>
    </row>
    <row r="44" spans="1:9" ht="57.6">
      <c r="A44" t="s">
        <v>3415</v>
      </c>
      <c r="B44" t="s">
        <v>180</v>
      </c>
      <c r="C44" s="1">
        <v>33940</v>
      </c>
      <c r="D44" t="s">
        <v>15</v>
      </c>
      <c r="E44">
        <v>2054932966</v>
      </c>
      <c r="F44" t="s">
        <v>181</v>
      </c>
      <c r="G44" s="2" t="s">
        <v>182</v>
      </c>
      <c r="H44">
        <v>4530174268</v>
      </c>
      <c r="I44" t="s">
        <v>183</v>
      </c>
    </row>
    <row r="45" spans="1:9" ht="72">
      <c r="A45" t="s">
        <v>3451</v>
      </c>
      <c r="B45" t="s">
        <v>80</v>
      </c>
      <c r="C45" s="1">
        <v>36412</v>
      </c>
      <c r="D45" t="s">
        <v>28</v>
      </c>
      <c r="E45">
        <v>5687833918</v>
      </c>
      <c r="F45" t="s">
        <v>184</v>
      </c>
      <c r="G45" s="2" t="s">
        <v>185</v>
      </c>
      <c r="H45">
        <v>8679087406</v>
      </c>
      <c r="I45" t="s">
        <v>186</v>
      </c>
    </row>
    <row r="46" spans="1:9" ht="86.4">
      <c r="A46" t="s">
        <v>3452</v>
      </c>
      <c r="B46" t="s">
        <v>187</v>
      </c>
      <c r="C46" s="1">
        <v>19324</v>
      </c>
      <c r="D46" t="s">
        <v>15</v>
      </c>
      <c r="E46">
        <v>917046226567</v>
      </c>
      <c r="F46" t="s">
        <v>188</v>
      </c>
      <c r="G46" s="2" t="s">
        <v>189</v>
      </c>
      <c r="H46">
        <v>3375243106</v>
      </c>
      <c r="I46" t="s">
        <v>190</v>
      </c>
    </row>
    <row r="47" spans="1:9">
      <c r="A47" t="s">
        <v>3439</v>
      </c>
      <c r="B47" t="s">
        <v>191</v>
      </c>
      <c r="C47" s="1">
        <v>35307</v>
      </c>
      <c r="D47" t="s">
        <v>15</v>
      </c>
      <c r="E47">
        <v>913067383028</v>
      </c>
      <c r="F47" t="s">
        <v>192</v>
      </c>
      <c r="G47" t="s">
        <v>193</v>
      </c>
      <c r="H47">
        <v>568566246</v>
      </c>
      <c r="I47" t="s">
        <v>194</v>
      </c>
    </row>
    <row r="48" spans="1:9" ht="72">
      <c r="A48" t="s">
        <v>3453</v>
      </c>
      <c r="B48" t="s">
        <v>32</v>
      </c>
      <c r="C48" s="1">
        <v>31805</v>
      </c>
      <c r="D48" t="s">
        <v>28</v>
      </c>
      <c r="E48">
        <v>6882634351</v>
      </c>
      <c r="F48" t="s">
        <v>195</v>
      </c>
      <c r="G48" s="2" t="s">
        <v>196</v>
      </c>
      <c r="H48">
        <v>7393638546</v>
      </c>
      <c r="I48" t="s">
        <v>197</v>
      </c>
    </row>
    <row r="49" spans="1:9">
      <c r="A49" t="s">
        <v>3454</v>
      </c>
      <c r="B49" t="s">
        <v>198</v>
      </c>
      <c r="C49" s="1">
        <v>35782</v>
      </c>
      <c r="D49" t="s">
        <v>15</v>
      </c>
      <c r="E49">
        <v>5355609320</v>
      </c>
      <c r="F49" t="s">
        <v>199</v>
      </c>
      <c r="G49" t="s">
        <v>200</v>
      </c>
      <c r="H49">
        <v>8728080100</v>
      </c>
      <c r="I49" t="s">
        <v>201</v>
      </c>
    </row>
    <row r="50" spans="1:9" ht="72">
      <c r="A50" t="s">
        <v>3455</v>
      </c>
      <c r="B50" t="s">
        <v>202</v>
      </c>
      <c r="C50" s="1">
        <v>19329</v>
      </c>
      <c r="D50" t="s">
        <v>28</v>
      </c>
      <c r="E50">
        <v>9770088600</v>
      </c>
      <c r="F50" t="s">
        <v>203</v>
      </c>
      <c r="G50" s="2" t="s">
        <v>204</v>
      </c>
      <c r="H50">
        <v>3410166687</v>
      </c>
      <c r="I50" t="s">
        <v>205</v>
      </c>
    </row>
    <row r="51" spans="1:9" ht="86.4">
      <c r="A51" t="s">
        <v>3456</v>
      </c>
      <c r="B51" t="s">
        <v>206</v>
      </c>
      <c r="C51" s="1">
        <v>20197</v>
      </c>
      <c r="D51" t="s">
        <v>28</v>
      </c>
      <c r="E51">
        <v>339740148</v>
      </c>
      <c r="F51" t="s">
        <v>207</v>
      </c>
      <c r="G51" s="2" t="s">
        <v>208</v>
      </c>
      <c r="H51">
        <v>3159996504</v>
      </c>
      <c r="I51" t="s">
        <v>209</v>
      </c>
    </row>
    <row r="52" spans="1:9" ht="86.4">
      <c r="A52" t="s">
        <v>3457</v>
      </c>
      <c r="B52" t="s">
        <v>210</v>
      </c>
      <c r="C52" s="1">
        <v>27273</v>
      </c>
      <c r="D52" t="s">
        <v>10</v>
      </c>
      <c r="E52">
        <v>919431142626</v>
      </c>
      <c r="F52" t="s">
        <v>211</v>
      </c>
      <c r="G52" s="2" t="s">
        <v>212</v>
      </c>
      <c r="H52">
        <v>9956046618</v>
      </c>
      <c r="I52" t="s">
        <v>213</v>
      </c>
    </row>
    <row r="53" spans="1:9">
      <c r="A53" t="s">
        <v>3458</v>
      </c>
      <c r="B53" t="s">
        <v>214</v>
      </c>
      <c r="C53" s="1">
        <v>30083</v>
      </c>
      <c r="D53" t="s">
        <v>28</v>
      </c>
      <c r="E53">
        <v>911264647154</v>
      </c>
      <c r="F53" t="s">
        <v>215</v>
      </c>
      <c r="G53" t="s">
        <v>216</v>
      </c>
      <c r="H53">
        <v>3752654793</v>
      </c>
      <c r="I53" t="s">
        <v>217</v>
      </c>
    </row>
    <row r="54" spans="1:9" ht="86.4">
      <c r="A54" t="s">
        <v>3459</v>
      </c>
      <c r="B54" t="s">
        <v>218</v>
      </c>
      <c r="C54" s="1">
        <v>34771</v>
      </c>
      <c r="D54" t="s">
        <v>15</v>
      </c>
      <c r="E54">
        <v>737416724</v>
      </c>
      <c r="F54" t="s">
        <v>219</v>
      </c>
      <c r="G54" s="2" t="s">
        <v>220</v>
      </c>
      <c r="H54">
        <v>5610143888</v>
      </c>
      <c r="I54" t="s">
        <v>221</v>
      </c>
    </row>
    <row r="55" spans="1:9" ht="86.4">
      <c r="A55" t="s">
        <v>3460</v>
      </c>
      <c r="B55" t="s">
        <v>222</v>
      </c>
      <c r="C55" s="1">
        <v>30266</v>
      </c>
      <c r="D55" t="s">
        <v>10</v>
      </c>
      <c r="E55">
        <v>915071461125</v>
      </c>
      <c r="F55" t="s">
        <v>223</v>
      </c>
      <c r="G55" s="2" t="s">
        <v>224</v>
      </c>
      <c r="H55">
        <v>8258673622</v>
      </c>
      <c r="I55" t="s">
        <v>225</v>
      </c>
    </row>
    <row r="56" spans="1:9">
      <c r="A56" t="s">
        <v>3461</v>
      </c>
      <c r="B56" t="s">
        <v>226</v>
      </c>
      <c r="C56" s="1">
        <v>23165</v>
      </c>
      <c r="D56" t="s">
        <v>28</v>
      </c>
      <c r="E56">
        <v>914191825537</v>
      </c>
      <c r="F56" t="s">
        <v>227</v>
      </c>
      <c r="G56" t="s">
        <v>228</v>
      </c>
      <c r="H56">
        <v>2528669296</v>
      </c>
      <c r="I56" t="s">
        <v>229</v>
      </c>
    </row>
    <row r="57" spans="1:9" ht="72">
      <c r="A57" t="s">
        <v>3449</v>
      </c>
      <c r="B57" t="s">
        <v>230</v>
      </c>
      <c r="C57" s="1">
        <v>21314</v>
      </c>
      <c r="D57" t="s">
        <v>10</v>
      </c>
      <c r="E57">
        <v>915790507236</v>
      </c>
      <c r="F57" t="s">
        <v>231</v>
      </c>
      <c r="G57" s="2" t="s">
        <v>232</v>
      </c>
      <c r="H57">
        <v>8819148580</v>
      </c>
      <c r="I57" t="s">
        <v>233</v>
      </c>
    </row>
    <row r="58" spans="1:9" ht="72">
      <c r="A58" t="s">
        <v>3462</v>
      </c>
      <c r="B58" t="s">
        <v>234</v>
      </c>
      <c r="C58" s="1">
        <v>18628</v>
      </c>
      <c r="D58" t="s">
        <v>15</v>
      </c>
      <c r="E58">
        <v>4517133959</v>
      </c>
      <c r="F58" t="s">
        <v>235</v>
      </c>
      <c r="G58" s="2" t="s">
        <v>236</v>
      </c>
      <c r="H58">
        <v>422325367</v>
      </c>
      <c r="I58" t="s">
        <v>237</v>
      </c>
    </row>
    <row r="59" spans="1:9" ht="72">
      <c r="A59" t="s">
        <v>3463</v>
      </c>
      <c r="B59" t="s">
        <v>238</v>
      </c>
      <c r="C59" s="1">
        <v>27839</v>
      </c>
      <c r="D59" t="s">
        <v>28</v>
      </c>
      <c r="E59">
        <v>4577590175</v>
      </c>
      <c r="F59" t="s">
        <v>239</v>
      </c>
      <c r="G59" s="2" t="s">
        <v>240</v>
      </c>
      <c r="H59">
        <v>632424154</v>
      </c>
      <c r="I59" t="s">
        <v>241</v>
      </c>
    </row>
    <row r="60" spans="1:9" ht="57.6">
      <c r="A60" t="s">
        <v>3464</v>
      </c>
      <c r="B60" t="s">
        <v>176</v>
      </c>
      <c r="C60" s="1">
        <v>28495</v>
      </c>
      <c r="D60" t="s">
        <v>15</v>
      </c>
      <c r="E60">
        <v>1103712938</v>
      </c>
      <c r="F60" t="s">
        <v>242</v>
      </c>
      <c r="G60" s="2" t="s">
        <v>243</v>
      </c>
      <c r="H60">
        <v>1890927532</v>
      </c>
      <c r="I60" t="s">
        <v>244</v>
      </c>
    </row>
    <row r="61" spans="1:9" ht="72">
      <c r="A61" t="s">
        <v>3460</v>
      </c>
      <c r="B61" t="s">
        <v>44</v>
      </c>
      <c r="C61" s="1">
        <v>27372</v>
      </c>
      <c r="D61" t="s">
        <v>10</v>
      </c>
      <c r="E61">
        <v>6523413899</v>
      </c>
      <c r="F61" t="s">
        <v>245</v>
      </c>
      <c r="G61" s="2" t="s">
        <v>246</v>
      </c>
      <c r="H61">
        <v>9658271091</v>
      </c>
      <c r="I61" t="s">
        <v>247</v>
      </c>
    </row>
    <row r="62" spans="1:9" ht="72">
      <c r="A62" t="s">
        <v>3465</v>
      </c>
      <c r="B62" t="s">
        <v>248</v>
      </c>
      <c r="C62" s="1">
        <v>30280</v>
      </c>
      <c r="D62" t="s">
        <v>28</v>
      </c>
      <c r="E62">
        <v>6618892414</v>
      </c>
      <c r="F62" t="s">
        <v>249</v>
      </c>
      <c r="G62" s="2" t="s">
        <v>250</v>
      </c>
      <c r="H62">
        <v>5884252410</v>
      </c>
      <c r="I62" t="s">
        <v>251</v>
      </c>
    </row>
    <row r="63" spans="1:9" ht="72">
      <c r="A63" t="s">
        <v>3430</v>
      </c>
      <c r="B63" t="s">
        <v>252</v>
      </c>
      <c r="C63" s="1">
        <v>29141</v>
      </c>
      <c r="D63" t="s">
        <v>10</v>
      </c>
      <c r="E63">
        <v>5079252419</v>
      </c>
      <c r="F63" t="s">
        <v>253</v>
      </c>
      <c r="G63" s="2" t="s">
        <v>254</v>
      </c>
      <c r="H63">
        <v>1951802380</v>
      </c>
      <c r="I63" t="s">
        <v>255</v>
      </c>
    </row>
    <row r="64" spans="1:9" ht="86.4">
      <c r="A64" t="s">
        <v>3455</v>
      </c>
      <c r="B64" t="s">
        <v>256</v>
      </c>
      <c r="C64" s="1">
        <v>26996</v>
      </c>
      <c r="D64" t="s">
        <v>10</v>
      </c>
      <c r="E64">
        <v>914949375973</v>
      </c>
      <c r="F64" t="s">
        <v>257</v>
      </c>
      <c r="G64" s="2" t="s">
        <v>258</v>
      </c>
      <c r="H64">
        <v>8657191826</v>
      </c>
      <c r="I64" t="s">
        <v>259</v>
      </c>
    </row>
    <row r="65" spans="1:9">
      <c r="A65" t="s">
        <v>3421</v>
      </c>
      <c r="B65" t="s">
        <v>260</v>
      </c>
      <c r="C65" s="1">
        <v>25656</v>
      </c>
      <c r="D65" t="s">
        <v>28</v>
      </c>
      <c r="E65">
        <v>5574313291</v>
      </c>
      <c r="F65" t="s">
        <v>261</v>
      </c>
      <c r="G65" t="s">
        <v>262</v>
      </c>
      <c r="H65">
        <v>1356804420</v>
      </c>
      <c r="I65" t="s">
        <v>263</v>
      </c>
    </row>
    <row r="66" spans="1:9">
      <c r="A66" t="s">
        <v>3420</v>
      </c>
      <c r="B66" t="s">
        <v>264</v>
      </c>
      <c r="C66" s="1">
        <v>20845</v>
      </c>
      <c r="D66" t="s">
        <v>10</v>
      </c>
      <c r="E66">
        <v>910323651994</v>
      </c>
      <c r="F66" t="s">
        <v>265</v>
      </c>
      <c r="G66" t="s">
        <v>266</v>
      </c>
      <c r="H66">
        <v>4472099934</v>
      </c>
      <c r="I66" t="s">
        <v>267</v>
      </c>
    </row>
    <row r="67" spans="1:9">
      <c r="A67" t="s">
        <v>3466</v>
      </c>
      <c r="B67" t="s">
        <v>268</v>
      </c>
      <c r="C67" s="1">
        <v>33800</v>
      </c>
      <c r="D67" t="s">
        <v>15</v>
      </c>
      <c r="E67">
        <v>3806578759</v>
      </c>
      <c r="F67" t="s">
        <v>269</v>
      </c>
      <c r="G67" t="s">
        <v>270</v>
      </c>
      <c r="H67">
        <v>9652239559</v>
      </c>
      <c r="I67" t="s">
        <v>271</v>
      </c>
    </row>
    <row r="68" spans="1:9" ht="86.4">
      <c r="A68" t="s">
        <v>3445</v>
      </c>
      <c r="B68" t="s">
        <v>272</v>
      </c>
      <c r="C68" s="1">
        <v>22190</v>
      </c>
      <c r="D68" t="s">
        <v>10</v>
      </c>
      <c r="E68">
        <v>103930870</v>
      </c>
      <c r="F68" t="s">
        <v>273</v>
      </c>
      <c r="G68" s="2" t="s">
        <v>274</v>
      </c>
      <c r="H68">
        <v>4522675289</v>
      </c>
      <c r="I68" t="s">
        <v>275</v>
      </c>
    </row>
    <row r="69" spans="1:9" ht="72">
      <c r="A69" t="s">
        <v>3467</v>
      </c>
      <c r="B69" t="s">
        <v>276</v>
      </c>
      <c r="C69" s="1">
        <v>35942</v>
      </c>
      <c r="D69" t="s">
        <v>15</v>
      </c>
      <c r="E69">
        <v>919690295939</v>
      </c>
      <c r="F69" t="s">
        <v>277</v>
      </c>
      <c r="G69" s="2" t="s">
        <v>278</v>
      </c>
      <c r="H69">
        <v>2676586179</v>
      </c>
      <c r="I69" t="s">
        <v>279</v>
      </c>
    </row>
    <row r="70" spans="1:9" ht="86.4">
      <c r="A70" t="s">
        <v>3421</v>
      </c>
      <c r="B70" t="s">
        <v>112</v>
      </c>
      <c r="C70" s="1">
        <v>19671</v>
      </c>
      <c r="D70" t="s">
        <v>15</v>
      </c>
      <c r="E70">
        <v>2621815997</v>
      </c>
      <c r="F70" t="s">
        <v>280</v>
      </c>
      <c r="G70" s="2" t="s">
        <v>281</v>
      </c>
      <c r="H70">
        <v>2050614973</v>
      </c>
      <c r="I70" t="s">
        <v>282</v>
      </c>
    </row>
    <row r="71" spans="1:9">
      <c r="A71" t="s">
        <v>3468</v>
      </c>
      <c r="B71" t="s">
        <v>283</v>
      </c>
      <c r="C71" s="1">
        <v>27706</v>
      </c>
      <c r="D71" t="s">
        <v>10</v>
      </c>
      <c r="E71">
        <v>7418625652</v>
      </c>
      <c r="F71" t="s">
        <v>284</v>
      </c>
      <c r="G71" t="s">
        <v>285</v>
      </c>
      <c r="H71">
        <v>6868793741</v>
      </c>
      <c r="I71" t="s">
        <v>286</v>
      </c>
    </row>
    <row r="72" spans="1:9" ht="72">
      <c r="A72" t="s">
        <v>3469</v>
      </c>
      <c r="B72" t="s">
        <v>287</v>
      </c>
      <c r="C72" s="1">
        <v>36647</v>
      </c>
      <c r="D72" t="s">
        <v>15</v>
      </c>
      <c r="E72">
        <v>2233206163</v>
      </c>
      <c r="F72" t="s">
        <v>288</v>
      </c>
      <c r="G72" s="2" t="s">
        <v>289</v>
      </c>
      <c r="H72">
        <v>1914856467</v>
      </c>
      <c r="I72" t="s">
        <v>290</v>
      </c>
    </row>
    <row r="73" spans="1:9" ht="86.4">
      <c r="A73" t="s">
        <v>3470</v>
      </c>
      <c r="B73" t="s">
        <v>291</v>
      </c>
      <c r="C73" s="1">
        <v>35068</v>
      </c>
      <c r="D73" t="s">
        <v>28</v>
      </c>
      <c r="E73">
        <v>653074505</v>
      </c>
      <c r="F73" t="s">
        <v>292</v>
      </c>
      <c r="G73" s="2" t="s">
        <v>293</v>
      </c>
      <c r="H73">
        <v>1486289023</v>
      </c>
      <c r="I73" t="s">
        <v>294</v>
      </c>
    </row>
    <row r="74" spans="1:9" ht="72">
      <c r="A74" t="s">
        <v>3471</v>
      </c>
      <c r="B74" t="s">
        <v>295</v>
      </c>
      <c r="C74" s="1">
        <v>38295</v>
      </c>
      <c r="D74" t="s">
        <v>15</v>
      </c>
      <c r="E74">
        <v>8610357972</v>
      </c>
      <c r="F74" t="s">
        <v>296</v>
      </c>
      <c r="G74" s="2" t="s">
        <v>297</v>
      </c>
      <c r="H74">
        <v>7229034944</v>
      </c>
      <c r="I74" t="s">
        <v>298</v>
      </c>
    </row>
    <row r="75" spans="1:9" ht="86.4">
      <c r="A75" t="s">
        <v>3472</v>
      </c>
      <c r="B75" t="s">
        <v>299</v>
      </c>
      <c r="C75" s="1">
        <v>33326</v>
      </c>
      <c r="D75" t="s">
        <v>15</v>
      </c>
      <c r="E75">
        <v>9108589944</v>
      </c>
      <c r="F75" t="s">
        <v>300</v>
      </c>
      <c r="G75" s="2" t="s">
        <v>301</v>
      </c>
      <c r="H75">
        <v>6099353875</v>
      </c>
      <c r="I75" t="s">
        <v>302</v>
      </c>
    </row>
    <row r="76" spans="1:9" ht="72">
      <c r="A76" t="s">
        <v>3473</v>
      </c>
      <c r="B76" t="s">
        <v>303</v>
      </c>
      <c r="C76" s="1">
        <v>35851</v>
      </c>
      <c r="D76" t="s">
        <v>15</v>
      </c>
      <c r="E76">
        <v>2513534655</v>
      </c>
      <c r="F76" t="s">
        <v>304</v>
      </c>
      <c r="G76" s="2" t="s">
        <v>305</v>
      </c>
      <c r="H76">
        <v>2521752500</v>
      </c>
      <c r="I76" t="s">
        <v>306</v>
      </c>
    </row>
    <row r="77" spans="1:9" ht="72">
      <c r="A77" t="s">
        <v>3474</v>
      </c>
      <c r="B77" t="s">
        <v>307</v>
      </c>
      <c r="C77" s="1">
        <v>20015</v>
      </c>
      <c r="D77" t="s">
        <v>28</v>
      </c>
      <c r="E77">
        <v>919666676008</v>
      </c>
      <c r="F77" t="s">
        <v>308</v>
      </c>
      <c r="G77" s="2" t="s">
        <v>309</v>
      </c>
      <c r="H77">
        <v>8562575326</v>
      </c>
      <c r="I77" t="s">
        <v>310</v>
      </c>
    </row>
    <row r="78" spans="1:9">
      <c r="A78" t="s">
        <v>3475</v>
      </c>
      <c r="B78" t="s">
        <v>311</v>
      </c>
      <c r="C78" s="1">
        <v>26938</v>
      </c>
      <c r="D78" t="s">
        <v>28</v>
      </c>
      <c r="E78">
        <v>648909010</v>
      </c>
      <c r="F78" t="s">
        <v>312</v>
      </c>
      <c r="G78" t="s">
        <v>313</v>
      </c>
      <c r="H78">
        <v>1173934835</v>
      </c>
      <c r="I78" t="s">
        <v>314</v>
      </c>
    </row>
    <row r="79" spans="1:9" ht="57.6">
      <c r="A79" t="s">
        <v>3476</v>
      </c>
      <c r="B79" t="s">
        <v>315</v>
      </c>
      <c r="C79" s="1">
        <v>17895</v>
      </c>
      <c r="D79" t="s">
        <v>28</v>
      </c>
      <c r="E79">
        <v>911197218114</v>
      </c>
      <c r="F79" t="s">
        <v>316</v>
      </c>
      <c r="G79" s="2" t="s">
        <v>317</v>
      </c>
      <c r="H79">
        <v>1552166746</v>
      </c>
      <c r="I79" t="s">
        <v>318</v>
      </c>
    </row>
    <row r="80" spans="1:9" ht="72">
      <c r="A80" t="s">
        <v>3477</v>
      </c>
      <c r="B80" t="s">
        <v>319</v>
      </c>
      <c r="C80" s="1">
        <v>32510</v>
      </c>
      <c r="D80" t="s">
        <v>10</v>
      </c>
      <c r="E80">
        <v>9729659027</v>
      </c>
      <c r="F80" t="s">
        <v>320</v>
      </c>
      <c r="G80" s="2" t="s">
        <v>321</v>
      </c>
      <c r="H80">
        <v>8900287721</v>
      </c>
      <c r="I80" t="s">
        <v>322</v>
      </c>
    </row>
    <row r="81" spans="1:9" ht="86.4">
      <c r="A81" t="s">
        <v>3478</v>
      </c>
      <c r="B81" t="s">
        <v>323</v>
      </c>
      <c r="C81" s="1">
        <v>27850</v>
      </c>
      <c r="D81" t="s">
        <v>28</v>
      </c>
      <c r="E81">
        <v>911779717751</v>
      </c>
      <c r="F81" t="s">
        <v>324</v>
      </c>
      <c r="G81" s="2" t="s">
        <v>325</v>
      </c>
      <c r="H81">
        <v>9975711305</v>
      </c>
      <c r="I81" t="s">
        <v>326</v>
      </c>
    </row>
    <row r="82" spans="1:9" ht="72">
      <c r="A82" t="s">
        <v>3479</v>
      </c>
      <c r="B82" t="s">
        <v>264</v>
      </c>
      <c r="C82" s="1">
        <v>38253</v>
      </c>
      <c r="D82" t="s">
        <v>15</v>
      </c>
      <c r="E82">
        <v>6149331637</v>
      </c>
      <c r="F82" t="s">
        <v>327</v>
      </c>
      <c r="G82" s="2" t="s">
        <v>328</v>
      </c>
      <c r="H82">
        <v>2169958669</v>
      </c>
      <c r="I82" t="s">
        <v>329</v>
      </c>
    </row>
    <row r="83" spans="1:9">
      <c r="A83" t="s">
        <v>3480</v>
      </c>
      <c r="B83" t="s">
        <v>330</v>
      </c>
      <c r="C83" s="1">
        <v>35225</v>
      </c>
      <c r="D83" t="s">
        <v>28</v>
      </c>
      <c r="E83">
        <v>8485833394</v>
      </c>
      <c r="F83" t="s">
        <v>331</v>
      </c>
      <c r="G83" t="s">
        <v>332</v>
      </c>
      <c r="H83">
        <v>2003424420</v>
      </c>
      <c r="I83" t="s">
        <v>333</v>
      </c>
    </row>
    <row r="84" spans="1:9">
      <c r="A84" t="s">
        <v>3473</v>
      </c>
      <c r="B84" t="s">
        <v>334</v>
      </c>
      <c r="C84" s="1">
        <v>23402</v>
      </c>
      <c r="D84" t="s">
        <v>28</v>
      </c>
      <c r="E84">
        <v>8638406665</v>
      </c>
      <c r="F84" t="s">
        <v>335</v>
      </c>
      <c r="G84" t="s">
        <v>336</v>
      </c>
      <c r="H84">
        <v>9405720259</v>
      </c>
      <c r="I84" t="s">
        <v>337</v>
      </c>
    </row>
    <row r="85" spans="1:9">
      <c r="A85" t="s">
        <v>3481</v>
      </c>
      <c r="B85" t="s">
        <v>168</v>
      </c>
      <c r="C85" s="1">
        <v>25727</v>
      </c>
      <c r="D85" t="s">
        <v>15</v>
      </c>
      <c r="E85">
        <v>3281826886</v>
      </c>
      <c r="F85" t="s">
        <v>338</v>
      </c>
      <c r="G85" t="s">
        <v>339</v>
      </c>
      <c r="H85">
        <v>858877043</v>
      </c>
      <c r="I85" t="s">
        <v>340</v>
      </c>
    </row>
    <row r="86" spans="1:9" ht="72">
      <c r="A86" t="s">
        <v>3465</v>
      </c>
      <c r="B86" t="s">
        <v>341</v>
      </c>
      <c r="C86" s="1">
        <v>23066</v>
      </c>
      <c r="D86" t="s">
        <v>10</v>
      </c>
      <c r="E86">
        <v>3613861207</v>
      </c>
      <c r="F86" t="s">
        <v>342</v>
      </c>
      <c r="G86" s="2" t="s">
        <v>343</v>
      </c>
      <c r="H86">
        <v>9190158144</v>
      </c>
      <c r="I86" t="s">
        <v>344</v>
      </c>
    </row>
    <row r="87" spans="1:9">
      <c r="A87" t="s">
        <v>3482</v>
      </c>
      <c r="B87" t="s">
        <v>345</v>
      </c>
      <c r="C87" s="1">
        <v>23291</v>
      </c>
      <c r="D87" t="s">
        <v>28</v>
      </c>
      <c r="E87">
        <v>916842450882</v>
      </c>
      <c r="F87" t="s">
        <v>346</v>
      </c>
      <c r="G87" t="s">
        <v>347</v>
      </c>
      <c r="H87">
        <v>7814141397</v>
      </c>
      <c r="I87" t="s">
        <v>348</v>
      </c>
    </row>
    <row r="88" spans="1:9" ht="72">
      <c r="A88" t="s">
        <v>3483</v>
      </c>
      <c r="B88" t="s">
        <v>23</v>
      </c>
      <c r="C88" s="1">
        <v>29027</v>
      </c>
      <c r="D88" t="s">
        <v>10</v>
      </c>
      <c r="E88">
        <v>9492995562</v>
      </c>
      <c r="F88" t="s">
        <v>349</v>
      </c>
      <c r="G88" s="2" t="s">
        <v>350</v>
      </c>
      <c r="H88">
        <v>1080996930</v>
      </c>
      <c r="I88" t="s">
        <v>351</v>
      </c>
    </row>
    <row r="89" spans="1:9" ht="72">
      <c r="A89" t="s">
        <v>3484</v>
      </c>
      <c r="B89" t="s">
        <v>352</v>
      </c>
      <c r="C89" s="1">
        <v>37018</v>
      </c>
      <c r="D89" t="s">
        <v>10</v>
      </c>
      <c r="E89">
        <v>4278816580</v>
      </c>
      <c r="F89" t="s">
        <v>353</v>
      </c>
      <c r="G89" s="2" t="s">
        <v>354</v>
      </c>
      <c r="H89">
        <v>7700518449</v>
      </c>
      <c r="I89" t="s">
        <v>355</v>
      </c>
    </row>
    <row r="90" spans="1:9" ht="86.4">
      <c r="A90" t="s">
        <v>3430</v>
      </c>
      <c r="B90" t="s">
        <v>356</v>
      </c>
      <c r="C90" s="1">
        <v>24080</v>
      </c>
      <c r="D90" t="s">
        <v>10</v>
      </c>
      <c r="E90">
        <v>3865577908</v>
      </c>
      <c r="F90" t="s">
        <v>357</v>
      </c>
      <c r="G90" s="2" t="s">
        <v>358</v>
      </c>
      <c r="H90">
        <v>2603029922</v>
      </c>
      <c r="I90" t="s">
        <v>359</v>
      </c>
    </row>
    <row r="91" spans="1:9">
      <c r="A91" t="s">
        <v>3485</v>
      </c>
      <c r="B91" t="s">
        <v>360</v>
      </c>
      <c r="C91" s="1">
        <v>31835</v>
      </c>
      <c r="D91" t="s">
        <v>15</v>
      </c>
      <c r="E91">
        <v>413797723</v>
      </c>
      <c r="F91" t="s">
        <v>361</v>
      </c>
      <c r="G91" t="s">
        <v>362</v>
      </c>
      <c r="H91">
        <v>9127990881</v>
      </c>
      <c r="I91" t="s">
        <v>363</v>
      </c>
    </row>
    <row r="92" spans="1:9" ht="72">
      <c r="A92" t="s">
        <v>3486</v>
      </c>
      <c r="B92" t="s">
        <v>364</v>
      </c>
      <c r="C92" s="1">
        <v>28283</v>
      </c>
      <c r="D92" t="s">
        <v>10</v>
      </c>
      <c r="E92">
        <v>863765991</v>
      </c>
      <c r="F92" t="s">
        <v>365</v>
      </c>
      <c r="G92" s="2" t="s">
        <v>366</v>
      </c>
      <c r="H92">
        <v>5126944869</v>
      </c>
      <c r="I92" t="s">
        <v>367</v>
      </c>
    </row>
    <row r="93" spans="1:9" ht="86.4">
      <c r="A93" t="s">
        <v>3487</v>
      </c>
      <c r="B93" t="s">
        <v>368</v>
      </c>
      <c r="C93" s="1">
        <v>22269</v>
      </c>
      <c r="D93" t="s">
        <v>10</v>
      </c>
      <c r="E93">
        <v>8874495621</v>
      </c>
      <c r="F93" t="s">
        <v>369</v>
      </c>
      <c r="G93" s="2" t="s">
        <v>370</v>
      </c>
      <c r="H93">
        <v>5190669849</v>
      </c>
      <c r="I93" t="s">
        <v>371</v>
      </c>
    </row>
    <row r="94" spans="1:9" ht="72">
      <c r="A94" t="s">
        <v>3488</v>
      </c>
      <c r="B94" t="s">
        <v>372</v>
      </c>
      <c r="C94" s="1">
        <v>18662</v>
      </c>
      <c r="D94" t="s">
        <v>15</v>
      </c>
      <c r="E94">
        <v>8839205302</v>
      </c>
      <c r="F94" t="s">
        <v>373</v>
      </c>
      <c r="G94" s="2" t="s">
        <v>374</v>
      </c>
      <c r="H94">
        <v>4268181845</v>
      </c>
      <c r="I94" t="s">
        <v>375</v>
      </c>
    </row>
    <row r="95" spans="1:9" ht="72">
      <c r="A95" t="s">
        <v>3489</v>
      </c>
      <c r="B95" t="s">
        <v>376</v>
      </c>
      <c r="C95" s="1">
        <v>29847</v>
      </c>
      <c r="D95" t="s">
        <v>10</v>
      </c>
      <c r="E95">
        <v>915779071416</v>
      </c>
      <c r="F95" t="s">
        <v>377</v>
      </c>
      <c r="G95" s="2" t="s">
        <v>378</v>
      </c>
      <c r="H95">
        <v>7333433339</v>
      </c>
      <c r="I95" t="s">
        <v>379</v>
      </c>
    </row>
    <row r="96" spans="1:9" ht="72">
      <c r="A96" t="s">
        <v>3461</v>
      </c>
      <c r="B96" t="s">
        <v>380</v>
      </c>
      <c r="C96" s="1">
        <v>31285</v>
      </c>
      <c r="D96" t="s">
        <v>10</v>
      </c>
      <c r="E96">
        <v>917595794728</v>
      </c>
      <c r="F96" t="s">
        <v>381</v>
      </c>
      <c r="G96" s="2" t="s">
        <v>382</v>
      </c>
      <c r="H96">
        <v>3691559428</v>
      </c>
      <c r="I96" t="s">
        <v>383</v>
      </c>
    </row>
    <row r="97" spans="1:9" ht="72">
      <c r="A97" t="s">
        <v>3490</v>
      </c>
      <c r="B97" t="s">
        <v>384</v>
      </c>
      <c r="C97" s="1">
        <v>28243</v>
      </c>
      <c r="D97" t="s">
        <v>15</v>
      </c>
      <c r="E97">
        <v>5564729293</v>
      </c>
      <c r="F97" t="s">
        <v>385</v>
      </c>
      <c r="G97" s="2" t="s">
        <v>386</v>
      </c>
      <c r="H97">
        <v>6120347175</v>
      </c>
      <c r="I97" t="s">
        <v>387</v>
      </c>
    </row>
    <row r="98" spans="1:9" ht="72">
      <c r="A98" t="s">
        <v>3480</v>
      </c>
      <c r="B98" t="s">
        <v>388</v>
      </c>
      <c r="C98" s="1">
        <v>26553</v>
      </c>
      <c r="D98" t="s">
        <v>15</v>
      </c>
      <c r="E98">
        <v>9399824558</v>
      </c>
      <c r="F98" t="s">
        <v>389</v>
      </c>
      <c r="G98" s="2" t="s">
        <v>390</v>
      </c>
      <c r="H98">
        <v>9647598762</v>
      </c>
      <c r="I98" t="s">
        <v>391</v>
      </c>
    </row>
    <row r="99" spans="1:9" ht="72">
      <c r="A99" t="s">
        <v>3491</v>
      </c>
      <c r="B99" t="s">
        <v>384</v>
      </c>
      <c r="C99" s="1">
        <v>21975</v>
      </c>
      <c r="D99" t="s">
        <v>28</v>
      </c>
      <c r="E99">
        <v>1117800681</v>
      </c>
      <c r="F99" t="s">
        <v>392</v>
      </c>
      <c r="G99" s="2" t="s">
        <v>393</v>
      </c>
      <c r="H99">
        <v>8728299796</v>
      </c>
      <c r="I99" t="s">
        <v>394</v>
      </c>
    </row>
    <row r="100" spans="1:9">
      <c r="A100" t="s">
        <v>3492</v>
      </c>
      <c r="B100" t="s">
        <v>76</v>
      </c>
      <c r="C100" s="1">
        <v>26918</v>
      </c>
      <c r="D100" t="s">
        <v>28</v>
      </c>
      <c r="E100">
        <v>4240082547</v>
      </c>
      <c r="F100" t="s">
        <v>395</v>
      </c>
      <c r="G100" t="s">
        <v>396</v>
      </c>
      <c r="H100">
        <v>6389448463</v>
      </c>
      <c r="I100" t="s">
        <v>397</v>
      </c>
    </row>
    <row r="101" spans="1:9" ht="72">
      <c r="A101" t="s">
        <v>3493</v>
      </c>
      <c r="B101" t="s">
        <v>398</v>
      </c>
      <c r="C101" s="1">
        <v>33305</v>
      </c>
      <c r="D101" t="s">
        <v>28</v>
      </c>
      <c r="E101">
        <v>3502080214</v>
      </c>
      <c r="F101" t="s">
        <v>399</v>
      </c>
      <c r="G101" s="2" t="s">
        <v>400</v>
      </c>
      <c r="H101">
        <v>461872346</v>
      </c>
      <c r="I101" t="s">
        <v>401</v>
      </c>
    </row>
    <row r="102" spans="1:9" ht="57.6">
      <c r="A102" t="s">
        <v>3494</v>
      </c>
      <c r="B102" t="s">
        <v>402</v>
      </c>
      <c r="C102" s="1">
        <v>36103</v>
      </c>
      <c r="D102" t="s">
        <v>10</v>
      </c>
      <c r="E102">
        <v>918376452088</v>
      </c>
      <c r="F102" t="s">
        <v>403</v>
      </c>
      <c r="G102" s="2" t="s">
        <v>404</v>
      </c>
      <c r="H102">
        <v>1327195005</v>
      </c>
      <c r="I102" t="s">
        <v>405</v>
      </c>
    </row>
    <row r="103" spans="1:9" ht="72">
      <c r="A103" t="s">
        <v>3443</v>
      </c>
      <c r="B103" t="s">
        <v>406</v>
      </c>
      <c r="C103" s="1">
        <v>26459</v>
      </c>
      <c r="D103" t="s">
        <v>10</v>
      </c>
      <c r="E103">
        <v>3065240778</v>
      </c>
      <c r="F103" t="s">
        <v>407</v>
      </c>
      <c r="G103" s="2" t="s">
        <v>408</v>
      </c>
      <c r="H103">
        <v>6209593518</v>
      </c>
      <c r="I103" t="s">
        <v>409</v>
      </c>
    </row>
    <row r="104" spans="1:9" ht="86.4">
      <c r="A104" t="s">
        <v>3495</v>
      </c>
      <c r="B104" t="s">
        <v>410</v>
      </c>
      <c r="C104" s="1">
        <v>33756</v>
      </c>
      <c r="D104" t="s">
        <v>10</v>
      </c>
      <c r="E104">
        <v>1181022031</v>
      </c>
      <c r="F104" t="s">
        <v>411</v>
      </c>
      <c r="G104" s="2" t="s">
        <v>412</v>
      </c>
      <c r="H104">
        <v>6509480141</v>
      </c>
      <c r="I104" t="s">
        <v>413</v>
      </c>
    </row>
    <row r="105" spans="1:9" ht="86.4">
      <c r="A105" t="s">
        <v>3496</v>
      </c>
      <c r="B105" t="s">
        <v>414</v>
      </c>
      <c r="C105" s="1">
        <v>34153</v>
      </c>
      <c r="D105" t="s">
        <v>15</v>
      </c>
      <c r="E105">
        <v>919288619576</v>
      </c>
      <c r="F105" t="s">
        <v>415</v>
      </c>
      <c r="G105" s="2" t="s">
        <v>416</v>
      </c>
      <c r="H105">
        <v>5776004908</v>
      </c>
      <c r="I105" t="s">
        <v>417</v>
      </c>
    </row>
    <row r="106" spans="1:9">
      <c r="A106" t="s">
        <v>3497</v>
      </c>
      <c r="B106" t="s">
        <v>418</v>
      </c>
      <c r="C106" s="1">
        <v>24685</v>
      </c>
      <c r="D106" t="s">
        <v>10</v>
      </c>
      <c r="E106">
        <v>8899210752</v>
      </c>
      <c r="F106" t="s">
        <v>419</v>
      </c>
      <c r="G106" t="s">
        <v>420</v>
      </c>
      <c r="H106">
        <v>5661390604</v>
      </c>
      <c r="I106" t="s">
        <v>421</v>
      </c>
    </row>
    <row r="107" spans="1:9" ht="86.4">
      <c r="A107" t="s">
        <v>3498</v>
      </c>
      <c r="B107" t="s">
        <v>422</v>
      </c>
      <c r="C107" s="1">
        <v>19082</v>
      </c>
      <c r="D107" t="s">
        <v>28</v>
      </c>
      <c r="E107">
        <v>6799813646</v>
      </c>
      <c r="F107" t="s">
        <v>423</v>
      </c>
      <c r="G107" s="2" t="s">
        <v>424</v>
      </c>
      <c r="H107">
        <v>8331465911</v>
      </c>
      <c r="I107" t="s">
        <v>425</v>
      </c>
    </row>
    <row r="108" spans="1:9">
      <c r="A108" t="s">
        <v>3499</v>
      </c>
      <c r="B108" t="s">
        <v>426</v>
      </c>
      <c r="C108" s="1">
        <v>25403</v>
      </c>
      <c r="D108" t="s">
        <v>15</v>
      </c>
      <c r="E108">
        <v>915979270335</v>
      </c>
      <c r="F108" t="s">
        <v>427</v>
      </c>
      <c r="G108" t="s">
        <v>428</v>
      </c>
      <c r="H108">
        <v>8792069804</v>
      </c>
      <c r="I108" t="s">
        <v>429</v>
      </c>
    </row>
    <row r="109" spans="1:9">
      <c r="A109" t="s">
        <v>3500</v>
      </c>
      <c r="B109" t="s">
        <v>430</v>
      </c>
      <c r="C109" s="1">
        <v>18034</v>
      </c>
      <c r="D109" t="s">
        <v>15</v>
      </c>
      <c r="E109">
        <v>916451046368</v>
      </c>
      <c r="F109" t="s">
        <v>431</v>
      </c>
      <c r="G109" t="s">
        <v>432</v>
      </c>
      <c r="H109">
        <v>4046084325</v>
      </c>
      <c r="I109" t="s">
        <v>433</v>
      </c>
    </row>
    <row r="110" spans="1:9" ht="72">
      <c r="A110" t="s">
        <v>3501</v>
      </c>
      <c r="B110" t="s">
        <v>319</v>
      </c>
      <c r="C110" s="1">
        <v>23801</v>
      </c>
      <c r="D110" t="s">
        <v>15</v>
      </c>
      <c r="E110">
        <v>2649578232</v>
      </c>
      <c r="F110" t="s">
        <v>434</v>
      </c>
      <c r="G110" s="2" t="s">
        <v>435</v>
      </c>
      <c r="H110">
        <v>7423122099</v>
      </c>
      <c r="I110" t="s">
        <v>436</v>
      </c>
    </row>
    <row r="111" spans="1:9">
      <c r="A111" t="s">
        <v>3499</v>
      </c>
      <c r="B111" t="s">
        <v>437</v>
      </c>
      <c r="C111" s="1">
        <v>19802</v>
      </c>
      <c r="D111" t="s">
        <v>28</v>
      </c>
      <c r="E111">
        <v>7289752677</v>
      </c>
      <c r="F111" t="s">
        <v>438</v>
      </c>
      <c r="G111" t="s">
        <v>439</v>
      </c>
      <c r="H111">
        <v>6999880817</v>
      </c>
      <c r="I111" t="s">
        <v>440</v>
      </c>
    </row>
    <row r="112" spans="1:9" ht="72">
      <c r="A112" t="s">
        <v>3502</v>
      </c>
      <c r="B112" t="s">
        <v>356</v>
      </c>
      <c r="C112" s="1">
        <v>36845</v>
      </c>
      <c r="D112" t="s">
        <v>28</v>
      </c>
      <c r="E112">
        <v>347644726</v>
      </c>
      <c r="F112" t="s">
        <v>441</v>
      </c>
      <c r="G112" s="2" t="s">
        <v>442</v>
      </c>
      <c r="H112">
        <v>3714521117</v>
      </c>
      <c r="I112" t="s">
        <v>443</v>
      </c>
    </row>
    <row r="113" spans="1:9" ht="72">
      <c r="A113" t="s">
        <v>3489</v>
      </c>
      <c r="B113" t="s">
        <v>444</v>
      </c>
      <c r="C113" s="1">
        <v>27287</v>
      </c>
      <c r="D113" t="s">
        <v>28</v>
      </c>
      <c r="E113">
        <v>912592222064</v>
      </c>
      <c r="F113" t="s">
        <v>445</v>
      </c>
      <c r="G113" s="2" t="s">
        <v>446</v>
      </c>
      <c r="H113">
        <v>7671990384</v>
      </c>
      <c r="I113" t="s">
        <v>447</v>
      </c>
    </row>
    <row r="114" spans="1:9">
      <c r="A114" t="s">
        <v>3428</v>
      </c>
      <c r="B114" t="s">
        <v>448</v>
      </c>
      <c r="C114" s="1">
        <v>18633</v>
      </c>
      <c r="D114" t="s">
        <v>15</v>
      </c>
      <c r="E114">
        <v>9945101622</v>
      </c>
      <c r="F114" t="s">
        <v>449</v>
      </c>
      <c r="G114" t="s">
        <v>450</v>
      </c>
      <c r="H114">
        <v>8683390198</v>
      </c>
      <c r="I114" t="s">
        <v>451</v>
      </c>
    </row>
    <row r="115" spans="1:9" ht="72">
      <c r="A115" t="s">
        <v>3503</v>
      </c>
      <c r="B115" t="s">
        <v>452</v>
      </c>
      <c r="C115" s="1">
        <v>26622</v>
      </c>
      <c r="D115" t="s">
        <v>15</v>
      </c>
      <c r="E115">
        <v>919978772934</v>
      </c>
      <c r="F115" t="s">
        <v>453</v>
      </c>
      <c r="G115" s="2" t="s">
        <v>454</v>
      </c>
      <c r="H115">
        <v>8501556990</v>
      </c>
      <c r="I115" t="s">
        <v>455</v>
      </c>
    </row>
    <row r="116" spans="1:9" ht="86.4">
      <c r="A116" t="s">
        <v>3443</v>
      </c>
      <c r="B116" t="s">
        <v>456</v>
      </c>
      <c r="C116" s="1">
        <v>29794</v>
      </c>
      <c r="D116" t="s">
        <v>10</v>
      </c>
      <c r="E116">
        <v>917857608495</v>
      </c>
      <c r="F116" t="s">
        <v>457</v>
      </c>
      <c r="G116" s="2" t="s">
        <v>458</v>
      </c>
      <c r="H116">
        <v>4617357438</v>
      </c>
      <c r="I116" t="s">
        <v>459</v>
      </c>
    </row>
    <row r="117" spans="1:9" ht="72">
      <c r="A117" t="s">
        <v>3492</v>
      </c>
      <c r="B117" t="s">
        <v>460</v>
      </c>
      <c r="C117" s="1">
        <v>18446</v>
      </c>
      <c r="D117" t="s">
        <v>10</v>
      </c>
      <c r="E117">
        <v>8235784521</v>
      </c>
      <c r="F117" t="s">
        <v>461</v>
      </c>
      <c r="G117" s="2" t="s">
        <v>462</v>
      </c>
      <c r="H117">
        <v>5334485714</v>
      </c>
      <c r="I117" t="s">
        <v>463</v>
      </c>
    </row>
    <row r="118" spans="1:9">
      <c r="A118" t="s">
        <v>3504</v>
      </c>
      <c r="B118" t="s">
        <v>187</v>
      </c>
      <c r="C118" s="1">
        <v>26534</v>
      </c>
      <c r="D118" t="s">
        <v>28</v>
      </c>
      <c r="E118">
        <v>5424932149</v>
      </c>
      <c r="F118" t="s">
        <v>464</v>
      </c>
      <c r="G118" t="s">
        <v>465</v>
      </c>
      <c r="H118">
        <v>1792171747</v>
      </c>
      <c r="I118" t="s">
        <v>466</v>
      </c>
    </row>
    <row r="119" spans="1:9" ht="72">
      <c r="A119" t="s">
        <v>3505</v>
      </c>
      <c r="B119" t="s">
        <v>467</v>
      </c>
      <c r="C119" s="1">
        <v>26037</v>
      </c>
      <c r="D119" t="s">
        <v>15</v>
      </c>
      <c r="E119">
        <v>7701715772</v>
      </c>
      <c r="F119" t="s">
        <v>468</v>
      </c>
      <c r="G119" s="2" t="s">
        <v>469</v>
      </c>
      <c r="H119">
        <v>6153966958</v>
      </c>
      <c r="I119" t="s">
        <v>470</v>
      </c>
    </row>
    <row r="120" spans="1:9" ht="100.8">
      <c r="A120" t="s">
        <v>3506</v>
      </c>
      <c r="B120" t="s">
        <v>471</v>
      </c>
      <c r="C120" s="1">
        <v>20254</v>
      </c>
      <c r="D120" t="s">
        <v>10</v>
      </c>
      <c r="E120">
        <v>2461919657</v>
      </c>
      <c r="F120" t="s">
        <v>472</v>
      </c>
      <c r="G120" s="2" t="s">
        <v>473</v>
      </c>
      <c r="H120">
        <v>1909862405</v>
      </c>
      <c r="I120" t="s">
        <v>474</v>
      </c>
    </row>
    <row r="121" spans="1:9" ht="72">
      <c r="A121" t="s">
        <v>3486</v>
      </c>
      <c r="B121" t="s">
        <v>475</v>
      </c>
      <c r="C121" s="1">
        <v>32495</v>
      </c>
      <c r="D121" t="s">
        <v>28</v>
      </c>
      <c r="E121">
        <v>5666683272</v>
      </c>
      <c r="F121" t="s">
        <v>476</v>
      </c>
      <c r="G121" s="2" t="s">
        <v>477</v>
      </c>
      <c r="H121">
        <v>8687653269</v>
      </c>
      <c r="I121" t="s">
        <v>478</v>
      </c>
    </row>
    <row r="122" spans="1:9" ht="72">
      <c r="A122" t="s">
        <v>3503</v>
      </c>
      <c r="B122" t="s">
        <v>164</v>
      </c>
      <c r="C122" s="1">
        <v>18658</v>
      </c>
      <c r="D122" t="s">
        <v>28</v>
      </c>
      <c r="E122">
        <v>919751971284</v>
      </c>
      <c r="F122" t="s">
        <v>479</v>
      </c>
      <c r="G122" s="2" t="s">
        <v>480</v>
      </c>
      <c r="H122">
        <v>6544209494</v>
      </c>
      <c r="I122" t="s">
        <v>481</v>
      </c>
    </row>
    <row r="123" spans="1:9" ht="57.6">
      <c r="A123" t="s">
        <v>3507</v>
      </c>
      <c r="B123" t="s">
        <v>452</v>
      </c>
      <c r="C123" s="1">
        <v>18505</v>
      </c>
      <c r="D123" t="s">
        <v>10</v>
      </c>
      <c r="E123">
        <v>7128144294</v>
      </c>
      <c r="F123" t="s">
        <v>482</v>
      </c>
      <c r="G123" s="2" t="s">
        <v>483</v>
      </c>
      <c r="H123">
        <v>6637239504</v>
      </c>
      <c r="I123" t="s">
        <v>484</v>
      </c>
    </row>
    <row r="124" spans="1:9" ht="100.8">
      <c r="A124" t="s">
        <v>3508</v>
      </c>
      <c r="B124" t="s">
        <v>485</v>
      </c>
      <c r="C124" s="1">
        <v>23634</v>
      </c>
      <c r="D124" t="s">
        <v>28</v>
      </c>
      <c r="E124">
        <v>6742860476</v>
      </c>
      <c r="F124" t="s">
        <v>486</v>
      </c>
      <c r="G124" s="2" t="s">
        <v>487</v>
      </c>
      <c r="H124">
        <v>8001061817</v>
      </c>
      <c r="I124" t="s">
        <v>488</v>
      </c>
    </row>
    <row r="125" spans="1:9" ht="72">
      <c r="A125" t="s">
        <v>3509</v>
      </c>
      <c r="B125" t="s">
        <v>489</v>
      </c>
      <c r="C125" s="1">
        <v>34147</v>
      </c>
      <c r="D125" t="s">
        <v>15</v>
      </c>
      <c r="E125">
        <v>919111926921</v>
      </c>
      <c r="F125" t="s">
        <v>490</v>
      </c>
      <c r="G125" s="2" t="s">
        <v>491</v>
      </c>
      <c r="H125">
        <v>9627128639</v>
      </c>
      <c r="I125" t="s">
        <v>492</v>
      </c>
    </row>
    <row r="126" spans="1:9" ht="57.6">
      <c r="A126" t="s">
        <v>3510</v>
      </c>
      <c r="B126" t="s">
        <v>493</v>
      </c>
      <c r="C126" s="1">
        <v>28909</v>
      </c>
      <c r="D126" t="s">
        <v>28</v>
      </c>
      <c r="E126">
        <v>917200642569</v>
      </c>
      <c r="F126" t="s">
        <v>494</v>
      </c>
      <c r="G126" s="2" t="s">
        <v>495</v>
      </c>
      <c r="H126">
        <v>1743280634</v>
      </c>
      <c r="I126" t="s">
        <v>496</v>
      </c>
    </row>
    <row r="127" spans="1:9">
      <c r="A127" t="s">
        <v>3414</v>
      </c>
      <c r="B127" t="s">
        <v>497</v>
      </c>
      <c r="C127" s="1">
        <v>22626</v>
      </c>
      <c r="D127" t="s">
        <v>15</v>
      </c>
      <c r="E127">
        <v>919376184787</v>
      </c>
      <c r="F127" t="s">
        <v>498</v>
      </c>
      <c r="G127" t="s">
        <v>499</v>
      </c>
      <c r="H127">
        <v>3202041792</v>
      </c>
      <c r="I127" t="s">
        <v>500</v>
      </c>
    </row>
    <row r="128" spans="1:9">
      <c r="A128" t="s">
        <v>3452</v>
      </c>
      <c r="B128" t="s">
        <v>198</v>
      </c>
      <c r="C128" s="1">
        <v>22863</v>
      </c>
      <c r="D128" t="s">
        <v>15</v>
      </c>
      <c r="E128">
        <v>5651982530</v>
      </c>
      <c r="F128" t="s">
        <v>501</v>
      </c>
      <c r="G128" t="s">
        <v>502</v>
      </c>
      <c r="H128">
        <v>2194672324</v>
      </c>
      <c r="I128" t="s">
        <v>503</v>
      </c>
    </row>
    <row r="129" spans="1:9">
      <c r="A129" t="s">
        <v>3511</v>
      </c>
      <c r="B129" t="s">
        <v>504</v>
      </c>
      <c r="C129" s="1">
        <v>30251</v>
      </c>
      <c r="D129" t="s">
        <v>10</v>
      </c>
      <c r="E129">
        <v>1456083318</v>
      </c>
      <c r="F129" t="s">
        <v>505</v>
      </c>
      <c r="G129" t="s">
        <v>506</v>
      </c>
      <c r="H129">
        <v>9701082207</v>
      </c>
      <c r="I129" t="s">
        <v>507</v>
      </c>
    </row>
    <row r="130" spans="1:9" ht="86.4">
      <c r="A130" t="s">
        <v>3466</v>
      </c>
      <c r="B130" t="s">
        <v>508</v>
      </c>
      <c r="C130" s="1">
        <v>36395</v>
      </c>
      <c r="D130" t="s">
        <v>10</v>
      </c>
      <c r="E130">
        <v>5315313636</v>
      </c>
      <c r="F130" t="s">
        <v>509</v>
      </c>
      <c r="G130" s="2" t="s">
        <v>510</v>
      </c>
      <c r="H130">
        <v>4217762534</v>
      </c>
      <c r="I130" t="s">
        <v>511</v>
      </c>
    </row>
    <row r="131" spans="1:9">
      <c r="A131" t="s">
        <v>3472</v>
      </c>
      <c r="B131" t="s">
        <v>512</v>
      </c>
      <c r="C131" s="1">
        <v>23206</v>
      </c>
      <c r="D131" t="s">
        <v>10</v>
      </c>
      <c r="E131">
        <v>7740633569</v>
      </c>
      <c r="F131" t="s">
        <v>513</v>
      </c>
      <c r="G131" t="s">
        <v>514</v>
      </c>
      <c r="H131">
        <v>2543107427</v>
      </c>
      <c r="I131" t="s">
        <v>515</v>
      </c>
    </row>
    <row r="132" spans="1:9" ht="43.2">
      <c r="A132" t="s">
        <v>3512</v>
      </c>
      <c r="B132" t="s">
        <v>516</v>
      </c>
      <c r="C132" s="1">
        <v>27033</v>
      </c>
      <c r="D132" t="s">
        <v>28</v>
      </c>
      <c r="E132">
        <v>7016580464</v>
      </c>
      <c r="F132" t="s">
        <v>517</v>
      </c>
      <c r="G132" s="2" t="s">
        <v>518</v>
      </c>
      <c r="H132">
        <v>3817933554</v>
      </c>
      <c r="I132" t="s">
        <v>519</v>
      </c>
    </row>
    <row r="133" spans="1:9">
      <c r="A133" t="s">
        <v>3513</v>
      </c>
      <c r="B133" t="s">
        <v>414</v>
      </c>
      <c r="C133" s="1">
        <v>38445</v>
      </c>
      <c r="D133" t="s">
        <v>10</v>
      </c>
      <c r="E133">
        <v>917884795137</v>
      </c>
      <c r="F133" t="s">
        <v>520</v>
      </c>
      <c r="G133" t="s">
        <v>521</v>
      </c>
      <c r="H133">
        <v>3103856955</v>
      </c>
      <c r="I133" t="s">
        <v>522</v>
      </c>
    </row>
    <row r="134" spans="1:9">
      <c r="A134" t="s">
        <v>3427</v>
      </c>
      <c r="B134" t="s">
        <v>523</v>
      </c>
      <c r="C134" s="1">
        <v>22095</v>
      </c>
      <c r="D134" t="s">
        <v>10</v>
      </c>
      <c r="E134">
        <v>3754025472</v>
      </c>
      <c r="F134" t="s">
        <v>524</v>
      </c>
      <c r="G134" t="s">
        <v>525</v>
      </c>
      <c r="H134">
        <v>4106727520</v>
      </c>
      <c r="I134" t="s">
        <v>526</v>
      </c>
    </row>
    <row r="135" spans="1:9">
      <c r="A135" t="s">
        <v>3469</v>
      </c>
      <c r="B135" t="s">
        <v>527</v>
      </c>
      <c r="C135" s="1">
        <v>31875</v>
      </c>
      <c r="D135" t="s">
        <v>28</v>
      </c>
      <c r="E135">
        <v>7517028140</v>
      </c>
      <c r="F135" t="s">
        <v>528</v>
      </c>
      <c r="G135" t="s">
        <v>529</v>
      </c>
      <c r="H135">
        <v>9980562656</v>
      </c>
      <c r="I135" t="s">
        <v>530</v>
      </c>
    </row>
    <row r="136" spans="1:9" ht="57.6">
      <c r="A136" t="s">
        <v>3514</v>
      </c>
      <c r="B136" t="s">
        <v>531</v>
      </c>
      <c r="C136" s="1">
        <v>28868</v>
      </c>
      <c r="D136" t="s">
        <v>10</v>
      </c>
      <c r="E136">
        <v>6742662991</v>
      </c>
      <c r="F136" t="s">
        <v>532</v>
      </c>
      <c r="G136" s="2" t="s">
        <v>533</v>
      </c>
      <c r="H136">
        <v>494787300</v>
      </c>
      <c r="I136" t="s">
        <v>534</v>
      </c>
    </row>
    <row r="137" spans="1:9" ht="100.8">
      <c r="A137" t="s">
        <v>3515</v>
      </c>
      <c r="B137" t="s">
        <v>535</v>
      </c>
      <c r="C137" s="1">
        <v>34923</v>
      </c>
      <c r="D137" t="s">
        <v>28</v>
      </c>
      <c r="E137">
        <v>3014719597</v>
      </c>
      <c r="F137" t="s">
        <v>536</v>
      </c>
      <c r="G137" s="2" t="s">
        <v>537</v>
      </c>
      <c r="H137">
        <v>4481832192</v>
      </c>
      <c r="I137" t="s">
        <v>538</v>
      </c>
    </row>
    <row r="138" spans="1:9" ht="72">
      <c r="A138" t="s">
        <v>3516</v>
      </c>
      <c r="B138" t="s">
        <v>345</v>
      </c>
      <c r="C138" s="1">
        <v>32244</v>
      </c>
      <c r="D138" t="s">
        <v>28</v>
      </c>
      <c r="E138">
        <v>2028457652</v>
      </c>
      <c r="F138" t="s">
        <v>539</v>
      </c>
      <c r="G138" s="2" t="s">
        <v>540</v>
      </c>
      <c r="H138">
        <v>2401322342</v>
      </c>
      <c r="I138" t="s">
        <v>541</v>
      </c>
    </row>
    <row r="139" spans="1:9" ht="72">
      <c r="A139" t="s">
        <v>3517</v>
      </c>
      <c r="B139" t="s">
        <v>542</v>
      </c>
      <c r="C139" s="1">
        <v>29863</v>
      </c>
      <c r="D139" t="s">
        <v>15</v>
      </c>
      <c r="E139">
        <v>310890714</v>
      </c>
      <c r="F139" t="s">
        <v>543</v>
      </c>
      <c r="G139" s="2" t="s">
        <v>544</v>
      </c>
      <c r="H139">
        <v>9119083342</v>
      </c>
      <c r="I139" t="s">
        <v>545</v>
      </c>
    </row>
    <row r="140" spans="1:9" ht="86.4">
      <c r="A140" t="s">
        <v>3460</v>
      </c>
      <c r="B140" t="s">
        <v>546</v>
      </c>
      <c r="C140" s="1">
        <v>28754</v>
      </c>
      <c r="D140" t="s">
        <v>15</v>
      </c>
      <c r="E140">
        <v>1256638361</v>
      </c>
      <c r="F140" t="s">
        <v>547</v>
      </c>
      <c r="G140" s="2" t="s">
        <v>548</v>
      </c>
      <c r="H140">
        <v>3864631752</v>
      </c>
      <c r="I140" t="s">
        <v>549</v>
      </c>
    </row>
    <row r="141" spans="1:9" ht="72">
      <c r="A141" t="s">
        <v>3426</v>
      </c>
      <c r="B141" t="s">
        <v>448</v>
      </c>
      <c r="C141" s="1">
        <v>27640</v>
      </c>
      <c r="D141" t="s">
        <v>10</v>
      </c>
      <c r="E141">
        <v>9121535396</v>
      </c>
      <c r="F141" t="s">
        <v>550</v>
      </c>
      <c r="G141" s="2" t="s">
        <v>551</v>
      </c>
      <c r="H141">
        <v>2010170269</v>
      </c>
      <c r="I141" t="s">
        <v>552</v>
      </c>
    </row>
    <row r="142" spans="1:9" ht="100.8">
      <c r="A142" t="s">
        <v>3508</v>
      </c>
      <c r="B142" t="s">
        <v>553</v>
      </c>
      <c r="C142" s="1">
        <v>36905</v>
      </c>
      <c r="D142" t="s">
        <v>28</v>
      </c>
      <c r="E142">
        <v>7347784858</v>
      </c>
      <c r="F142" t="s">
        <v>554</v>
      </c>
      <c r="G142" s="2" t="s">
        <v>555</v>
      </c>
      <c r="H142">
        <v>7889778280</v>
      </c>
      <c r="I142" t="s">
        <v>556</v>
      </c>
    </row>
    <row r="143" spans="1:9" ht="57.6">
      <c r="A143" t="s">
        <v>3518</v>
      </c>
      <c r="B143" t="s">
        <v>557</v>
      </c>
      <c r="C143" s="1">
        <v>19353</v>
      </c>
      <c r="D143" t="s">
        <v>15</v>
      </c>
      <c r="E143">
        <v>919025590561</v>
      </c>
      <c r="F143" t="s">
        <v>558</v>
      </c>
      <c r="G143" s="2" t="s">
        <v>559</v>
      </c>
      <c r="H143">
        <v>6986407905</v>
      </c>
      <c r="I143" t="s">
        <v>560</v>
      </c>
    </row>
    <row r="144" spans="1:9" ht="72">
      <c r="A144" t="s">
        <v>3497</v>
      </c>
      <c r="B144" t="s">
        <v>561</v>
      </c>
      <c r="C144" s="1">
        <v>22944</v>
      </c>
      <c r="D144" t="s">
        <v>15</v>
      </c>
      <c r="E144">
        <v>7852945637</v>
      </c>
      <c r="F144" t="s">
        <v>562</v>
      </c>
      <c r="G144" s="2" t="s">
        <v>563</v>
      </c>
      <c r="H144">
        <v>8536649878</v>
      </c>
      <c r="I144" t="s">
        <v>564</v>
      </c>
    </row>
    <row r="145" spans="1:9" ht="72">
      <c r="A145" t="s">
        <v>3500</v>
      </c>
      <c r="B145" t="s">
        <v>214</v>
      </c>
      <c r="C145" s="1">
        <v>33682</v>
      </c>
      <c r="D145" t="s">
        <v>15</v>
      </c>
      <c r="E145">
        <v>9690835723</v>
      </c>
      <c r="F145" t="s">
        <v>565</v>
      </c>
      <c r="G145" s="2" t="s">
        <v>566</v>
      </c>
      <c r="H145">
        <v>6032420448</v>
      </c>
      <c r="I145" t="s">
        <v>567</v>
      </c>
    </row>
    <row r="146" spans="1:9" ht="72">
      <c r="A146" t="s">
        <v>3452</v>
      </c>
      <c r="B146" t="s">
        <v>568</v>
      </c>
      <c r="C146" s="1">
        <v>27943</v>
      </c>
      <c r="D146" t="s">
        <v>15</v>
      </c>
      <c r="E146">
        <v>1623198189</v>
      </c>
      <c r="F146" t="s">
        <v>569</v>
      </c>
      <c r="G146" s="2" t="s">
        <v>570</v>
      </c>
      <c r="H146">
        <v>9078515867</v>
      </c>
      <c r="I146" t="s">
        <v>571</v>
      </c>
    </row>
    <row r="147" spans="1:9">
      <c r="A147" t="s">
        <v>3443</v>
      </c>
      <c r="B147" t="s">
        <v>572</v>
      </c>
      <c r="C147" s="1">
        <v>32884</v>
      </c>
      <c r="D147" t="s">
        <v>10</v>
      </c>
      <c r="E147">
        <v>910348645183</v>
      </c>
      <c r="F147" t="s">
        <v>573</v>
      </c>
      <c r="G147" t="s">
        <v>574</v>
      </c>
      <c r="H147">
        <v>6124815698</v>
      </c>
      <c r="I147" t="s">
        <v>575</v>
      </c>
    </row>
    <row r="148" spans="1:9">
      <c r="A148" t="s">
        <v>3427</v>
      </c>
      <c r="B148" t="s">
        <v>576</v>
      </c>
      <c r="C148" s="1">
        <v>21209</v>
      </c>
      <c r="D148" t="s">
        <v>15</v>
      </c>
      <c r="E148">
        <v>916345911238</v>
      </c>
      <c r="F148" t="s">
        <v>577</v>
      </c>
      <c r="G148" t="s">
        <v>578</v>
      </c>
      <c r="H148">
        <v>3173420696</v>
      </c>
      <c r="I148" t="s">
        <v>579</v>
      </c>
    </row>
    <row r="149" spans="1:9" ht="72">
      <c r="A149" t="s">
        <v>3519</v>
      </c>
      <c r="B149" t="s">
        <v>414</v>
      </c>
      <c r="C149" s="1">
        <v>28642</v>
      </c>
      <c r="D149" t="s">
        <v>10</v>
      </c>
      <c r="E149">
        <v>7133344762</v>
      </c>
      <c r="F149" t="s">
        <v>580</v>
      </c>
      <c r="G149" s="2" t="s">
        <v>581</v>
      </c>
      <c r="H149">
        <v>7256366941</v>
      </c>
      <c r="I149" t="s">
        <v>582</v>
      </c>
    </row>
    <row r="150" spans="1:9" ht="57.6">
      <c r="A150" t="s">
        <v>3422</v>
      </c>
      <c r="B150" t="s">
        <v>583</v>
      </c>
      <c r="C150" s="1">
        <v>32696</v>
      </c>
      <c r="D150" t="s">
        <v>28</v>
      </c>
      <c r="E150">
        <v>48964652</v>
      </c>
      <c r="F150" t="s">
        <v>584</v>
      </c>
      <c r="G150" s="2" t="s">
        <v>585</v>
      </c>
      <c r="H150">
        <v>4948562572</v>
      </c>
      <c r="I150" t="s">
        <v>586</v>
      </c>
    </row>
    <row r="151" spans="1:9" ht="86.4">
      <c r="A151" t="s">
        <v>3520</v>
      </c>
      <c r="B151" t="s">
        <v>587</v>
      </c>
      <c r="C151" s="1">
        <v>21892</v>
      </c>
      <c r="D151" t="s">
        <v>10</v>
      </c>
      <c r="E151">
        <v>7617075877</v>
      </c>
      <c r="F151" t="s">
        <v>588</v>
      </c>
      <c r="G151" s="2" t="s">
        <v>589</v>
      </c>
      <c r="H151">
        <v>1371504165</v>
      </c>
      <c r="I151" t="s">
        <v>590</v>
      </c>
    </row>
    <row r="152" spans="1:9">
      <c r="A152" t="s">
        <v>3521</v>
      </c>
      <c r="B152" t="s">
        <v>80</v>
      </c>
      <c r="C152" s="1">
        <v>33444</v>
      </c>
      <c r="D152" t="s">
        <v>15</v>
      </c>
      <c r="E152">
        <v>9050975923</v>
      </c>
      <c r="F152" t="s">
        <v>591</v>
      </c>
      <c r="G152" t="s">
        <v>592</v>
      </c>
      <c r="H152">
        <v>9251583776</v>
      </c>
      <c r="I152" t="s">
        <v>593</v>
      </c>
    </row>
    <row r="153" spans="1:9">
      <c r="A153" t="s">
        <v>3522</v>
      </c>
      <c r="B153" t="s">
        <v>594</v>
      </c>
      <c r="C153" s="1">
        <v>22458</v>
      </c>
      <c r="D153" t="s">
        <v>28</v>
      </c>
      <c r="E153">
        <v>6108573278</v>
      </c>
      <c r="F153" t="s">
        <v>595</v>
      </c>
      <c r="G153" t="s">
        <v>596</v>
      </c>
      <c r="H153">
        <v>4549180172</v>
      </c>
      <c r="I153" t="s">
        <v>597</v>
      </c>
    </row>
    <row r="154" spans="1:9" ht="72">
      <c r="A154" t="s">
        <v>3523</v>
      </c>
      <c r="B154" t="s">
        <v>80</v>
      </c>
      <c r="C154" s="1">
        <v>36651</v>
      </c>
      <c r="D154" t="s">
        <v>28</v>
      </c>
      <c r="E154">
        <v>7945232194</v>
      </c>
      <c r="F154" t="s">
        <v>598</v>
      </c>
      <c r="G154" s="2" t="s">
        <v>599</v>
      </c>
      <c r="H154">
        <v>303723683</v>
      </c>
      <c r="I154" t="s">
        <v>600</v>
      </c>
    </row>
    <row r="155" spans="1:9">
      <c r="A155" t="s">
        <v>3451</v>
      </c>
      <c r="B155" t="s">
        <v>601</v>
      </c>
      <c r="C155" s="1">
        <v>35290</v>
      </c>
      <c r="D155" t="s">
        <v>10</v>
      </c>
      <c r="E155">
        <v>7707933496</v>
      </c>
      <c r="F155" t="s">
        <v>602</v>
      </c>
      <c r="G155" t="s">
        <v>603</v>
      </c>
      <c r="H155">
        <v>1467179576</v>
      </c>
      <c r="I155" t="s">
        <v>604</v>
      </c>
    </row>
    <row r="156" spans="1:9">
      <c r="A156" t="s">
        <v>3498</v>
      </c>
      <c r="B156" t="s">
        <v>605</v>
      </c>
      <c r="C156" s="1">
        <v>34852</v>
      </c>
      <c r="D156" t="s">
        <v>28</v>
      </c>
      <c r="E156">
        <v>9724665729</v>
      </c>
      <c r="F156" t="s">
        <v>606</v>
      </c>
      <c r="G156" t="s">
        <v>607</v>
      </c>
      <c r="H156">
        <v>1561931837</v>
      </c>
      <c r="I156" t="s">
        <v>608</v>
      </c>
    </row>
    <row r="157" spans="1:9" ht="57.6">
      <c r="A157" t="s">
        <v>3524</v>
      </c>
      <c r="B157" t="s">
        <v>609</v>
      </c>
      <c r="C157" s="1">
        <v>34467</v>
      </c>
      <c r="D157" t="s">
        <v>10</v>
      </c>
      <c r="E157">
        <v>910771199180</v>
      </c>
      <c r="F157" t="s">
        <v>610</v>
      </c>
      <c r="G157" s="2" t="s">
        <v>611</v>
      </c>
      <c r="H157">
        <v>2145653286</v>
      </c>
      <c r="I157" t="s">
        <v>612</v>
      </c>
    </row>
    <row r="158" spans="1:9" ht="57.6">
      <c r="A158" t="s">
        <v>3525</v>
      </c>
      <c r="B158" t="s">
        <v>613</v>
      </c>
      <c r="C158" s="1">
        <v>28827</v>
      </c>
      <c r="D158" t="s">
        <v>28</v>
      </c>
      <c r="E158">
        <v>910811556260</v>
      </c>
      <c r="F158" t="s">
        <v>614</v>
      </c>
      <c r="G158" s="2" t="s">
        <v>615</v>
      </c>
      <c r="H158">
        <v>3899756341</v>
      </c>
      <c r="I158" t="s">
        <v>616</v>
      </c>
    </row>
    <row r="159" spans="1:9">
      <c r="A159" t="s">
        <v>3445</v>
      </c>
      <c r="B159" t="s">
        <v>617</v>
      </c>
      <c r="C159" s="1">
        <v>23139</v>
      </c>
      <c r="D159" t="s">
        <v>10</v>
      </c>
      <c r="E159">
        <v>918848520089</v>
      </c>
      <c r="F159" t="s">
        <v>618</v>
      </c>
      <c r="G159" t="s">
        <v>619</v>
      </c>
      <c r="H159">
        <v>9893544926</v>
      </c>
      <c r="I159" t="s">
        <v>620</v>
      </c>
    </row>
    <row r="160" spans="1:9" ht="72">
      <c r="A160" t="s">
        <v>3455</v>
      </c>
      <c r="B160" t="s">
        <v>621</v>
      </c>
      <c r="C160" s="1">
        <v>21469</v>
      </c>
      <c r="D160" t="s">
        <v>15</v>
      </c>
      <c r="E160">
        <v>6611062737</v>
      </c>
      <c r="F160" t="s">
        <v>622</v>
      </c>
      <c r="G160" s="2" t="s">
        <v>623</v>
      </c>
      <c r="H160">
        <v>7028519611</v>
      </c>
      <c r="I160" t="s">
        <v>624</v>
      </c>
    </row>
    <row r="161" spans="1:9" ht="72">
      <c r="A161" t="s">
        <v>3526</v>
      </c>
      <c r="B161" t="s">
        <v>625</v>
      </c>
      <c r="C161" s="1">
        <v>25133</v>
      </c>
      <c r="D161" t="s">
        <v>10</v>
      </c>
      <c r="E161">
        <v>229604432</v>
      </c>
      <c r="F161" t="s">
        <v>626</v>
      </c>
      <c r="G161" s="2" t="s">
        <v>627</v>
      </c>
      <c r="H161">
        <v>7725199663</v>
      </c>
      <c r="I161" t="s">
        <v>628</v>
      </c>
    </row>
    <row r="162" spans="1:9" ht="57.6">
      <c r="A162" t="s">
        <v>3527</v>
      </c>
      <c r="B162" t="s">
        <v>629</v>
      </c>
      <c r="C162" s="1">
        <v>21943</v>
      </c>
      <c r="D162" t="s">
        <v>10</v>
      </c>
      <c r="E162">
        <v>948181398</v>
      </c>
      <c r="F162" t="s">
        <v>630</v>
      </c>
      <c r="G162" s="2" t="s">
        <v>631</v>
      </c>
      <c r="H162">
        <v>6260856411</v>
      </c>
      <c r="I162" t="s">
        <v>632</v>
      </c>
    </row>
    <row r="163" spans="1:9" ht="86.4">
      <c r="A163" t="s">
        <v>3451</v>
      </c>
      <c r="B163" t="s">
        <v>76</v>
      </c>
      <c r="C163" s="1">
        <v>27949</v>
      </c>
      <c r="D163" t="s">
        <v>15</v>
      </c>
      <c r="E163">
        <v>2095200461</v>
      </c>
      <c r="F163" t="s">
        <v>633</v>
      </c>
      <c r="G163" s="2" t="s">
        <v>634</v>
      </c>
      <c r="H163">
        <v>6170630489</v>
      </c>
      <c r="I163" t="s">
        <v>635</v>
      </c>
    </row>
    <row r="164" spans="1:9" ht="57.6">
      <c r="A164" t="s">
        <v>3528</v>
      </c>
      <c r="B164" t="s">
        <v>636</v>
      </c>
      <c r="C164" s="1">
        <v>22883</v>
      </c>
      <c r="D164" t="s">
        <v>10</v>
      </c>
      <c r="E164">
        <v>915823868700</v>
      </c>
      <c r="F164" t="s">
        <v>637</v>
      </c>
      <c r="G164" s="2" t="s">
        <v>638</v>
      </c>
      <c r="H164">
        <v>1284639855</v>
      </c>
      <c r="I164" t="s">
        <v>639</v>
      </c>
    </row>
    <row r="165" spans="1:9" ht="57.6">
      <c r="A165" t="s">
        <v>3439</v>
      </c>
      <c r="B165" t="s">
        <v>640</v>
      </c>
      <c r="C165" s="1">
        <v>18221</v>
      </c>
      <c r="D165" t="s">
        <v>10</v>
      </c>
      <c r="E165">
        <v>2097002687</v>
      </c>
      <c r="F165" t="s">
        <v>641</v>
      </c>
      <c r="G165" s="2" t="s">
        <v>642</v>
      </c>
      <c r="H165">
        <v>453194337</v>
      </c>
      <c r="I165" t="s">
        <v>643</v>
      </c>
    </row>
    <row r="166" spans="1:9" ht="72">
      <c r="A166" t="s">
        <v>3494</v>
      </c>
      <c r="B166" t="s">
        <v>644</v>
      </c>
      <c r="C166" s="1">
        <v>33695</v>
      </c>
      <c r="D166" t="s">
        <v>28</v>
      </c>
      <c r="E166">
        <v>1498728399</v>
      </c>
      <c r="F166" t="s">
        <v>645</v>
      </c>
      <c r="G166" s="2" t="s">
        <v>646</v>
      </c>
      <c r="H166">
        <v>8775803046</v>
      </c>
      <c r="I166" t="s">
        <v>647</v>
      </c>
    </row>
    <row r="167" spans="1:9" ht="86.4">
      <c r="A167" t="s">
        <v>3529</v>
      </c>
      <c r="B167" t="s">
        <v>648</v>
      </c>
      <c r="C167" s="1">
        <v>36156</v>
      </c>
      <c r="D167" t="s">
        <v>10</v>
      </c>
      <c r="E167">
        <v>916133254110</v>
      </c>
      <c r="F167" t="s">
        <v>649</v>
      </c>
      <c r="G167" s="2" t="s">
        <v>650</v>
      </c>
      <c r="H167">
        <v>9110065120</v>
      </c>
      <c r="I167" t="s">
        <v>651</v>
      </c>
    </row>
    <row r="168" spans="1:9" ht="86.4">
      <c r="A168" t="s">
        <v>3509</v>
      </c>
      <c r="B168" t="s">
        <v>652</v>
      </c>
      <c r="C168" s="1">
        <v>19124</v>
      </c>
      <c r="D168" t="s">
        <v>28</v>
      </c>
      <c r="E168">
        <v>6619639907</v>
      </c>
      <c r="F168" t="s">
        <v>653</v>
      </c>
      <c r="G168" s="2" t="s">
        <v>654</v>
      </c>
      <c r="H168">
        <v>5679723200</v>
      </c>
      <c r="I168" t="s">
        <v>655</v>
      </c>
    </row>
    <row r="169" spans="1:9" ht="72">
      <c r="A169" t="s">
        <v>3457</v>
      </c>
      <c r="B169" t="s">
        <v>100</v>
      </c>
      <c r="C169" s="1">
        <v>31277</v>
      </c>
      <c r="D169" t="s">
        <v>15</v>
      </c>
      <c r="E169">
        <v>912749545089</v>
      </c>
      <c r="F169" t="s">
        <v>656</v>
      </c>
      <c r="G169" s="2" t="s">
        <v>657</v>
      </c>
      <c r="H169">
        <v>7073033793</v>
      </c>
      <c r="I169" t="s">
        <v>658</v>
      </c>
    </row>
    <row r="170" spans="1:9">
      <c r="A170" t="s">
        <v>3431</v>
      </c>
      <c r="B170" t="s">
        <v>659</v>
      </c>
      <c r="C170" s="1">
        <v>26722</v>
      </c>
      <c r="D170" t="s">
        <v>28</v>
      </c>
      <c r="E170">
        <v>918124739500</v>
      </c>
      <c r="F170" t="s">
        <v>660</v>
      </c>
      <c r="G170" t="s">
        <v>661</v>
      </c>
      <c r="H170">
        <v>5528961122</v>
      </c>
      <c r="I170" t="s">
        <v>662</v>
      </c>
    </row>
    <row r="171" spans="1:9" ht="86.4">
      <c r="A171" t="s">
        <v>3528</v>
      </c>
      <c r="B171" t="s">
        <v>663</v>
      </c>
      <c r="C171" s="1">
        <v>18975</v>
      </c>
      <c r="D171" t="s">
        <v>28</v>
      </c>
      <c r="E171">
        <v>9384253042</v>
      </c>
      <c r="F171" t="s">
        <v>664</v>
      </c>
      <c r="G171" s="2" t="s">
        <v>665</v>
      </c>
      <c r="H171">
        <v>6903337363</v>
      </c>
      <c r="I171" t="s">
        <v>666</v>
      </c>
    </row>
    <row r="172" spans="1:9" ht="86.4">
      <c r="A172" t="s">
        <v>3530</v>
      </c>
      <c r="B172" t="s">
        <v>52</v>
      </c>
      <c r="C172" s="1">
        <v>19915</v>
      </c>
      <c r="D172" t="s">
        <v>15</v>
      </c>
      <c r="E172">
        <v>7853907895</v>
      </c>
      <c r="F172" t="s">
        <v>667</v>
      </c>
      <c r="G172" s="2" t="s">
        <v>668</v>
      </c>
      <c r="H172">
        <v>8143111508</v>
      </c>
      <c r="I172" t="s">
        <v>669</v>
      </c>
    </row>
    <row r="173" spans="1:9" ht="100.8">
      <c r="A173" t="s">
        <v>3471</v>
      </c>
      <c r="B173" t="s">
        <v>144</v>
      </c>
      <c r="C173" s="1">
        <v>35365</v>
      </c>
      <c r="D173" t="s">
        <v>28</v>
      </c>
      <c r="E173">
        <v>2840445669</v>
      </c>
      <c r="F173" t="s">
        <v>670</v>
      </c>
      <c r="G173" s="2" t="s">
        <v>671</v>
      </c>
      <c r="H173">
        <v>7780529240</v>
      </c>
      <c r="I173" t="s">
        <v>672</v>
      </c>
    </row>
    <row r="174" spans="1:9">
      <c r="A174" t="s">
        <v>3474</v>
      </c>
      <c r="B174" t="s">
        <v>673</v>
      </c>
      <c r="C174" s="1">
        <v>34989</v>
      </c>
      <c r="D174" t="s">
        <v>15</v>
      </c>
      <c r="E174">
        <v>4590902259</v>
      </c>
      <c r="F174" t="s">
        <v>674</v>
      </c>
      <c r="G174" t="s">
        <v>675</v>
      </c>
      <c r="H174">
        <v>231643348</v>
      </c>
      <c r="I174" t="s">
        <v>676</v>
      </c>
    </row>
    <row r="175" spans="1:9" ht="72">
      <c r="A175" t="s">
        <v>3484</v>
      </c>
      <c r="B175" t="s">
        <v>677</v>
      </c>
      <c r="C175" s="1">
        <v>20579</v>
      </c>
      <c r="D175" t="s">
        <v>10</v>
      </c>
      <c r="E175">
        <v>918671632346</v>
      </c>
      <c r="F175" t="s">
        <v>678</v>
      </c>
      <c r="G175" s="2" t="s">
        <v>679</v>
      </c>
      <c r="H175">
        <v>9014754692</v>
      </c>
      <c r="I175" t="s">
        <v>680</v>
      </c>
    </row>
    <row r="176" spans="1:9" ht="100.8">
      <c r="A176" t="s">
        <v>3511</v>
      </c>
      <c r="B176" t="s">
        <v>681</v>
      </c>
      <c r="C176" s="1">
        <v>31960</v>
      </c>
      <c r="D176" t="s">
        <v>10</v>
      </c>
      <c r="E176">
        <v>916032484137</v>
      </c>
      <c r="F176" t="s">
        <v>682</v>
      </c>
      <c r="G176" s="2" t="s">
        <v>683</v>
      </c>
      <c r="H176">
        <v>6004125777</v>
      </c>
      <c r="I176" t="s">
        <v>684</v>
      </c>
    </row>
    <row r="177" spans="1:9" ht="57.6">
      <c r="A177" t="s">
        <v>3531</v>
      </c>
      <c r="B177" t="s">
        <v>685</v>
      </c>
      <c r="C177" s="1">
        <v>38667</v>
      </c>
      <c r="D177" t="s">
        <v>28</v>
      </c>
      <c r="E177">
        <v>919124186210</v>
      </c>
      <c r="F177" t="s">
        <v>686</v>
      </c>
      <c r="G177" s="2" t="s">
        <v>687</v>
      </c>
      <c r="H177">
        <v>5331060053</v>
      </c>
      <c r="I177" t="s">
        <v>688</v>
      </c>
    </row>
    <row r="178" spans="1:9">
      <c r="A178" t="s">
        <v>3532</v>
      </c>
      <c r="B178" t="s">
        <v>689</v>
      </c>
      <c r="C178" s="1">
        <v>25958</v>
      </c>
      <c r="D178" t="s">
        <v>10</v>
      </c>
      <c r="E178">
        <v>8393866133</v>
      </c>
      <c r="F178" t="s">
        <v>690</v>
      </c>
      <c r="G178" t="s">
        <v>691</v>
      </c>
      <c r="H178">
        <v>8924195625</v>
      </c>
      <c r="I178" t="s">
        <v>692</v>
      </c>
    </row>
    <row r="179" spans="1:9" ht="72">
      <c r="A179" t="s">
        <v>3533</v>
      </c>
      <c r="B179" t="s">
        <v>693</v>
      </c>
      <c r="C179" s="1">
        <v>33748</v>
      </c>
      <c r="D179" t="s">
        <v>15</v>
      </c>
      <c r="E179">
        <v>3890309143</v>
      </c>
      <c r="F179" t="s">
        <v>694</v>
      </c>
      <c r="G179" s="2" t="s">
        <v>695</v>
      </c>
      <c r="H179">
        <v>864035533</v>
      </c>
      <c r="I179" t="s">
        <v>696</v>
      </c>
    </row>
    <row r="180" spans="1:9" ht="72">
      <c r="A180" t="s">
        <v>3492</v>
      </c>
      <c r="B180" t="s">
        <v>697</v>
      </c>
      <c r="C180" s="1">
        <v>17977</v>
      </c>
      <c r="D180" t="s">
        <v>10</v>
      </c>
      <c r="E180">
        <v>917130232129</v>
      </c>
      <c r="F180" t="s">
        <v>698</v>
      </c>
      <c r="G180" s="2" t="s">
        <v>699</v>
      </c>
      <c r="H180">
        <v>6277689627</v>
      </c>
      <c r="I180" t="s">
        <v>700</v>
      </c>
    </row>
    <row r="181" spans="1:9" ht="72">
      <c r="A181" t="s">
        <v>3534</v>
      </c>
      <c r="B181" t="s">
        <v>531</v>
      </c>
      <c r="C181" s="1">
        <v>22194</v>
      </c>
      <c r="D181" t="s">
        <v>15</v>
      </c>
      <c r="E181">
        <v>6747468971</v>
      </c>
      <c r="F181" t="s">
        <v>701</v>
      </c>
      <c r="G181" s="2" t="s">
        <v>702</v>
      </c>
      <c r="H181">
        <v>169236458</v>
      </c>
      <c r="I181" t="s">
        <v>703</v>
      </c>
    </row>
    <row r="182" spans="1:9">
      <c r="A182" t="s">
        <v>3535</v>
      </c>
      <c r="B182" t="s">
        <v>704</v>
      </c>
      <c r="C182" s="1">
        <v>26810</v>
      </c>
      <c r="D182" t="s">
        <v>10</v>
      </c>
      <c r="E182">
        <v>249724399</v>
      </c>
      <c r="F182" t="s">
        <v>705</v>
      </c>
      <c r="G182" t="s">
        <v>706</v>
      </c>
      <c r="H182">
        <v>5243640270</v>
      </c>
      <c r="I182" t="s">
        <v>707</v>
      </c>
    </row>
    <row r="183" spans="1:9" ht="86.4">
      <c r="A183" t="s">
        <v>3475</v>
      </c>
      <c r="B183" t="s">
        <v>276</v>
      </c>
      <c r="C183" s="1">
        <v>27139</v>
      </c>
      <c r="D183" t="s">
        <v>28</v>
      </c>
      <c r="E183">
        <v>912372817932</v>
      </c>
      <c r="F183" t="s">
        <v>708</v>
      </c>
      <c r="G183" s="2" t="s">
        <v>709</v>
      </c>
      <c r="H183">
        <v>409013806</v>
      </c>
      <c r="I183" t="s">
        <v>710</v>
      </c>
    </row>
    <row r="184" spans="1:9" ht="57.6">
      <c r="A184" t="s">
        <v>3536</v>
      </c>
      <c r="B184" t="s">
        <v>711</v>
      </c>
      <c r="C184" s="1">
        <v>34774</v>
      </c>
      <c r="D184" t="s">
        <v>10</v>
      </c>
      <c r="E184">
        <v>5356690551</v>
      </c>
      <c r="F184" t="s">
        <v>712</v>
      </c>
      <c r="G184" s="2" t="s">
        <v>713</v>
      </c>
      <c r="H184">
        <v>5739769156</v>
      </c>
      <c r="I184" t="s">
        <v>714</v>
      </c>
    </row>
    <row r="185" spans="1:9" ht="72">
      <c r="A185" t="s">
        <v>3537</v>
      </c>
      <c r="B185" t="s">
        <v>283</v>
      </c>
      <c r="C185" s="1">
        <v>35639</v>
      </c>
      <c r="D185" t="s">
        <v>10</v>
      </c>
      <c r="E185">
        <v>271487271</v>
      </c>
      <c r="F185" t="s">
        <v>715</v>
      </c>
      <c r="G185" s="2" t="s">
        <v>716</v>
      </c>
      <c r="H185">
        <v>1539915668</v>
      </c>
      <c r="I185" t="s">
        <v>717</v>
      </c>
    </row>
    <row r="186" spans="1:9" ht="57.6">
      <c r="A186" t="s">
        <v>3450</v>
      </c>
      <c r="B186" t="s">
        <v>718</v>
      </c>
      <c r="C186" s="1">
        <v>32546</v>
      </c>
      <c r="D186" t="s">
        <v>10</v>
      </c>
      <c r="E186">
        <v>911952569040</v>
      </c>
      <c r="F186" t="s">
        <v>719</v>
      </c>
      <c r="G186" s="2" t="s">
        <v>720</v>
      </c>
      <c r="H186">
        <v>954814973</v>
      </c>
      <c r="I186" t="s">
        <v>721</v>
      </c>
    </row>
    <row r="187" spans="1:9">
      <c r="A187" t="s">
        <v>3415</v>
      </c>
      <c r="B187" t="s">
        <v>722</v>
      </c>
      <c r="C187" s="1">
        <v>23421</v>
      </c>
      <c r="D187" t="s">
        <v>15</v>
      </c>
      <c r="E187">
        <v>276420865</v>
      </c>
      <c r="F187" t="s">
        <v>723</v>
      </c>
      <c r="G187" t="s">
        <v>724</v>
      </c>
      <c r="H187">
        <v>7423330591</v>
      </c>
      <c r="I187" t="s">
        <v>725</v>
      </c>
    </row>
    <row r="188" spans="1:9">
      <c r="A188" t="s">
        <v>3538</v>
      </c>
      <c r="B188" t="s">
        <v>726</v>
      </c>
      <c r="C188" s="1">
        <v>30638</v>
      </c>
      <c r="D188" t="s">
        <v>15</v>
      </c>
      <c r="E188">
        <v>5962630136</v>
      </c>
      <c r="F188" t="s">
        <v>727</v>
      </c>
      <c r="G188" t="s">
        <v>728</v>
      </c>
      <c r="H188">
        <v>9997419267</v>
      </c>
      <c r="I188" t="s">
        <v>729</v>
      </c>
    </row>
    <row r="189" spans="1:9" ht="72">
      <c r="A189" t="s">
        <v>3425</v>
      </c>
      <c r="B189" t="s">
        <v>546</v>
      </c>
      <c r="C189" s="1">
        <v>27901</v>
      </c>
      <c r="D189" t="s">
        <v>28</v>
      </c>
      <c r="E189">
        <v>688871898</v>
      </c>
      <c r="F189" t="s">
        <v>730</v>
      </c>
      <c r="G189" s="2" t="s">
        <v>731</v>
      </c>
      <c r="H189">
        <v>4582603408</v>
      </c>
      <c r="I189" t="s">
        <v>732</v>
      </c>
    </row>
    <row r="190" spans="1:9" ht="72">
      <c r="A190" t="s">
        <v>3435</v>
      </c>
      <c r="B190" t="s">
        <v>60</v>
      </c>
      <c r="C190" s="1">
        <v>31204</v>
      </c>
      <c r="D190" t="s">
        <v>15</v>
      </c>
      <c r="E190">
        <v>3103032432</v>
      </c>
      <c r="F190" t="s">
        <v>733</v>
      </c>
      <c r="G190" s="2" t="s">
        <v>734</v>
      </c>
      <c r="H190">
        <v>9262566093</v>
      </c>
      <c r="I190" t="s">
        <v>735</v>
      </c>
    </row>
    <row r="191" spans="1:9" ht="57.6">
      <c r="A191" t="s">
        <v>3476</v>
      </c>
      <c r="B191" t="s">
        <v>736</v>
      </c>
      <c r="C191" s="1">
        <v>20038</v>
      </c>
      <c r="D191" t="s">
        <v>10</v>
      </c>
      <c r="E191">
        <v>5423401636</v>
      </c>
      <c r="F191" t="s">
        <v>737</v>
      </c>
      <c r="G191" s="2" t="s">
        <v>738</v>
      </c>
      <c r="H191">
        <v>6792408222</v>
      </c>
      <c r="I191" t="s">
        <v>739</v>
      </c>
    </row>
    <row r="192" spans="1:9" ht="72">
      <c r="A192" t="s">
        <v>3418</v>
      </c>
      <c r="B192" t="s">
        <v>56</v>
      </c>
      <c r="C192" s="1">
        <v>32956</v>
      </c>
      <c r="D192" t="s">
        <v>10</v>
      </c>
      <c r="E192">
        <v>7275784468</v>
      </c>
      <c r="F192" t="s">
        <v>740</v>
      </c>
      <c r="G192" s="2" t="s">
        <v>741</v>
      </c>
      <c r="H192">
        <v>8816093068</v>
      </c>
      <c r="I192" t="s">
        <v>742</v>
      </c>
    </row>
    <row r="193" spans="1:9" ht="72">
      <c r="A193" t="s">
        <v>3474</v>
      </c>
      <c r="B193" t="s">
        <v>743</v>
      </c>
      <c r="C193" s="1">
        <v>23421</v>
      </c>
      <c r="D193" t="s">
        <v>15</v>
      </c>
      <c r="E193">
        <v>911528506762</v>
      </c>
      <c r="F193" t="s">
        <v>744</v>
      </c>
      <c r="G193" s="2" t="s">
        <v>745</v>
      </c>
      <c r="H193">
        <v>7050975451</v>
      </c>
      <c r="I193" t="s">
        <v>746</v>
      </c>
    </row>
    <row r="194" spans="1:9">
      <c r="A194" t="s">
        <v>3494</v>
      </c>
      <c r="B194" t="s">
        <v>747</v>
      </c>
      <c r="C194" s="1">
        <v>30977</v>
      </c>
      <c r="D194" t="s">
        <v>10</v>
      </c>
      <c r="E194">
        <v>2617024376</v>
      </c>
      <c r="F194" t="s">
        <v>748</v>
      </c>
      <c r="G194" t="s">
        <v>749</v>
      </c>
      <c r="H194">
        <v>6650237416</v>
      </c>
      <c r="I194" t="s">
        <v>750</v>
      </c>
    </row>
    <row r="195" spans="1:9">
      <c r="A195" t="s">
        <v>3513</v>
      </c>
      <c r="B195" t="s">
        <v>751</v>
      </c>
      <c r="C195" s="1">
        <v>36266</v>
      </c>
      <c r="D195" t="s">
        <v>28</v>
      </c>
      <c r="E195">
        <v>2110225803</v>
      </c>
      <c r="F195" t="s">
        <v>752</v>
      </c>
      <c r="G195" t="s">
        <v>753</v>
      </c>
      <c r="H195">
        <v>1892392312</v>
      </c>
      <c r="I195" t="s">
        <v>754</v>
      </c>
    </row>
    <row r="196" spans="1:9" ht="86.4">
      <c r="A196" t="s">
        <v>3539</v>
      </c>
      <c r="B196" t="s">
        <v>755</v>
      </c>
      <c r="C196" s="1">
        <v>19093</v>
      </c>
      <c r="D196" t="s">
        <v>28</v>
      </c>
      <c r="E196">
        <v>6843356708</v>
      </c>
      <c r="F196" t="s">
        <v>756</v>
      </c>
      <c r="G196" s="2" t="s">
        <v>757</v>
      </c>
      <c r="H196">
        <v>4916247554</v>
      </c>
      <c r="I196" t="s">
        <v>758</v>
      </c>
    </row>
    <row r="197" spans="1:9" ht="57.6">
      <c r="A197" t="s">
        <v>3540</v>
      </c>
      <c r="B197" t="s">
        <v>759</v>
      </c>
      <c r="C197" s="1">
        <v>36292</v>
      </c>
      <c r="D197" t="s">
        <v>15</v>
      </c>
      <c r="E197">
        <v>8953439611</v>
      </c>
      <c r="F197" t="s">
        <v>760</v>
      </c>
      <c r="G197" s="2" t="s">
        <v>761</v>
      </c>
      <c r="H197">
        <v>5716176880</v>
      </c>
      <c r="I197" t="s">
        <v>762</v>
      </c>
    </row>
    <row r="198" spans="1:9" ht="72">
      <c r="A198" t="s">
        <v>3541</v>
      </c>
      <c r="B198" t="s">
        <v>144</v>
      </c>
      <c r="C198" s="1">
        <v>36237</v>
      </c>
      <c r="D198" t="s">
        <v>15</v>
      </c>
      <c r="E198">
        <v>7881278686</v>
      </c>
      <c r="F198" t="s">
        <v>763</v>
      </c>
      <c r="G198" s="2" t="s">
        <v>764</v>
      </c>
      <c r="H198">
        <v>3402424033</v>
      </c>
      <c r="I198" t="s">
        <v>765</v>
      </c>
    </row>
    <row r="199" spans="1:9">
      <c r="A199" t="s">
        <v>3413</v>
      </c>
      <c r="B199" t="s">
        <v>766</v>
      </c>
      <c r="C199" s="1">
        <v>31479</v>
      </c>
      <c r="D199" t="s">
        <v>28</v>
      </c>
      <c r="E199">
        <v>2694500534</v>
      </c>
      <c r="F199" t="s">
        <v>767</v>
      </c>
      <c r="G199" t="s">
        <v>768</v>
      </c>
      <c r="H199">
        <v>7272239724</v>
      </c>
      <c r="I199" t="s">
        <v>769</v>
      </c>
    </row>
    <row r="200" spans="1:9">
      <c r="A200" t="s">
        <v>3444</v>
      </c>
      <c r="B200" t="s">
        <v>770</v>
      </c>
      <c r="C200" s="1">
        <v>28425</v>
      </c>
      <c r="D200" t="s">
        <v>28</v>
      </c>
      <c r="E200">
        <v>917618209166</v>
      </c>
      <c r="F200" t="s">
        <v>771</v>
      </c>
      <c r="G200" t="s">
        <v>772</v>
      </c>
      <c r="H200">
        <v>7230848100</v>
      </c>
      <c r="I200" t="s">
        <v>773</v>
      </c>
    </row>
    <row r="201" spans="1:9" ht="57.6">
      <c r="A201" t="s">
        <v>3499</v>
      </c>
      <c r="B201" t="s">
        <v>774</v>
      </c>
      <c r="C201" s="1">
        <v>28443</v>
      </c>
      <c r="D201" t="s">
        <v>15</v>
      </c>
      <c r="E201">
        <v>2543617213</v>
      </c>
      <c r="F201" t="s">
        <v>775</v>
      </c>
      <c r="G201" s="2" t="s">
        <v>776</v>
      </c>
      <c r="H201">
        <v>5410225267</v>
      </c>
      <c r="I201" t="s">
        <v>777</v>
      </c>
    </row>
    <row r="202" spans="1:9">
      <c r="A202" t="s">
        <v>3495</v>
      </c>
      <c r="B202" t="s">
        <v>778</v>
      </c>
      <c r="C202" s="1">
        <v>22347</v>
      </c>
      <c r="D202" t="s">
        <v>15</v>
      </c>
      <c r="E202">
        <v>5576769523</v>
      </c>
      <c r="F202" t="s">
        <v>779</v>
      </c>
      <c r="G202" t="s">
        <v>780</v>
      </c>
      <c r="H202">
        <v>7210552472</v>
      </c>
      <c r="I202" t="s">
        <v>781</v>
      </c>
    </row>
    <row r="203" spans="1:9">
      <c r="A203" t="s">
        <v>3542</v>
      </c>
      <c r="B203" t="s">
        <v>226</v>
      </c>
      <c r="C203" s="1">
        <v>21383</v>
      </c>
      <c r="D203" t="s">
        <v>15</v>
      </c>
      <c r="E203">
        <v>650191792</v>
      </c>
      <c r="F203" t="s">
        <v>782</v>
      </c>
      <c r="G203" t="s">
        <v>783</v>
      </c>
      <c r="H203">
        <v>9282066784</v>
      </c>
      <c r="I203" t="s">
        <v>784</v>
      </c>
    </row>
    <row r="204" spans="1:9" ht="57.6">
      <c r="A204" t="s">
        <v>3489</v>
      </c>
      <c r="B204" t="s">
        <v>785</v>
      </c>
      <c r="C204" s="1">
        <v>36297</v>
      </c>
      <c r="D204" t="s">
        <v>10</v>
      </c>
      <c r="E204">
        <v>916903628917</v>
      </c>
      <c r="F204" t="s">
        <v>786</v>
      </c>
      <c r="G204" s="2" t="s">
        <v>787</v>
      </c>
      <c r="H204">
        <v>9043830341</v>
      </c>
      <c r="I204" t="s">
        <v>788</v>
      </c>
    </row>
    <row r="205" spans="1:9" ht="86.4">
      <c r="A205" t="s">
        <v>3539</v>
      </c>
      <c r="B205" t="s">
        <v>272</v>
      </c>
      <c r="C205" s="1">
        <v>18037</v>
      </c>
      <c r="D205" t="s">
        <v>15</v>
      </c>
      <c r="E205">
        <v>4683565215</v>
      </c>
      <c r="F205" t="s">
        <v>789</v>
      </c>
      <c r="G205" s="2" t="s">
        <v>790</v>
      </c>
      <c r="H205">
        <v>8985725459</v>
      </c>
      <c r="I205" t="s">
        <v>791</v>
      </c>
    </row>
    <row r="206" spans="1:9" ht="86.4">
      <c r="A206" t="s">
        <v>3424</v>
      </c>
      <c r="B206" t="s">
        <v>792</v>
      </c>
      <c r="C206" s="1">
        <v>30192</v>
      </c>
      <c r="D206" t="s">
        <v>15</v>
      </c>
      <c r="E206">
        <v>910248171752</v>
      </c>
      <c r="F206" t="s">
        <v>793</v>
      </c>
      <c r="G206" s="2" t="s">
        <v>794</v>
      </c>
      <c r="H206">
        <v>6692758955</v>
      </c>
      <c r="I206" t="s">
        <v>795</v>
      </c>
    </row>
    <row r="207" spans="1:9">
      <c r="A207" t="s">
        <v>3509</v>
      </c>
      <c r="B207" t="s">
        <v>718</v>
      </c>
      <c r="C207" s="1">
        <v>37477</v>
      </c>
      <c r="D207" t="s">
        <v>10</v>
      </c>
      <c r="E207">
        <v>918021462961</v>
      </c>
      <c r="F207" t="s">
        <v>796</v>
      </c>
      <c r="G207" t="s">
        <v>797</v>
      </c>
      <c r="H207">
        <v>1470827235</v>
      </c>
      <c r="I207" t="s">
        <v>798</v>
      </c>
    </row>
    <row r="208" spans="1:9" ht="86.4">
      <c r="A208" t="s">
        <v>3543</v>
      </c>
      <c r="B208" t="s">
        <v>799</v>
      </c>
      <c r="C208" s="1">
        <v>19171</v>
      </c>
      <c r="D208" t="s">
        <v>28</v>
      </c>
      <c r="E208">
        <v>910644212146</v>
      </c>
      <c r="F208" t="s">
        <v>800</v>
      </c>
      <c r="G208" s="2" t="s">
        <v>801</v>
      </c>
      <c r="H208">
        <v>6089319925</v>
      </c>
      <c r="I208" t="s">
        <v>802</v>
      </c>
    </row>
    <row r="209" spans="1:9" ht="86.4">
      <c r="A209" t="s">
        <v>3436</v>
      </c>
      <c r="B209" t="s">
        <v>803</v>
      </c>
      <c r="C209" s="1">
        <v>24358</v>
      </c>
      <c r="D209" t="s">
        <v>15</v>
      </c>
      <c r="E209">
        <v>727910336</v>
      </c>
      <c r="F209" t="s">
        <v>804</v>
      </c>
      <c r="G209" s="2" t="s">
        <v>805</v>
      </c>
      <c r="H209">
        <v>8512765289</v>
      </c>
      <c r="I209" t="s">
        <v>806</v>
      </c>
    </row>
    <row r="210" spans="1:9" ht="72">
      <c r="A210" t="s">
        <v>3528</v>
      </c>
      <c r="B210" t="s">
        <v>617</v>
      </c>
      <c r="C210" s="1">
        <v>35277</v>
      </c>
      <c r="D210" t="s">
        <v>10</v>
      </c>
      <c r="E210">
        <v>1111096179</v>
      </c>
      <c r="F210" t="s">
        <v>807</v>
      </c>
      <c r="G210" s="2" t="s">
        <v>808</v>
      </c>
      <c r="H210">
        <v>8444463060</v>
      </c>
      <c r="I210" t="s">
        <v>809</v>
      </c>
    </row>
    <row r="211" spans="1:9" ht="86.4">
      <c r="A211" t="s">
        <v>3475</v>
      </c>
      <c r="B211" t="s">
        <v>140</v>
      </c>
      <c r="C211" s="1">
        <v>28515</v>
      </c>
      <c r="D211" t="s">
        <v>15</v>
      </c>
      <c r="E211">
        <v>918639609626</v>
      </c>
      <c r="F211" t="s">
        <v>810</v>
      </c>
      <c r="G211" s="2" t="s">
        <v>811</v>
      </c>
      <c r="H211">
        <v>8196027523</v>
      </c>
      <c r="I211" t="s">
        <v>812</v>
      </c>
    </row>
    <row r="212" spans="1:9" ht="72">
      <c r="A212" t="s">
        <v>3489</v>
      </c>
      <c r="B212" t="s">
        <v>426</v>
      </c>
      <c r="C212" s="1">
        <v>24301</v>
      </c>
      <c r="D212" t="s">
        <v>15</v>
      </c>
      <c r="E212">
        <v>412091179</v>
      </c>
      <c r="F212" t="s">
        <v>813</v>
      </c>
      <c r="G212" s="2" t="s">
        <v>814</v>
      </c>
      <c r="H212">
        <v>7224029901</v>
      </c>
      <c r="I212" t="s">
        <v>815</v>
      </c>
    </row>
    <row r="213" spans="1:9" ht="72">
      <c r="A213" t="s">
        <v>3473</v>
      </c>
      <c r="B213" t="s">
        <v>816</v>
      </c>
      <c r="C213" s="1">
        <v>20849</v>
      </c>
      <c r="D213" t="s">
        <v>10</v>
      </c>
      <c r="E213">
        <v>919080882351</v>
      </c>
      <c r="F213" t="s">
        <v>817</v>
      </c>
      <c r="G213" s="2" t="s">
        <v>818</v>
      </c>
      <c r="H213">
        <v>3461994237</v>
      </c>
      <c r="I213" t="s">
        <v>819</v>
      </c>
    </row>
    <row r="214" spans="1:9" ht="57.6">
      <c r="A214" t="s">
        <v>3470</v>
      </c>
      <c r="B214" t="s">
        <v>820</v>
      </c>
      <c r="C214" s="1">
        <v>28497</v>
      </c>
      <c r="D214" t="s">
        <v>28</v>
      </c>
      <c r="E214">
        <v>919551720849</v>
      </c>
      <c r="F214" t="s">
        <v>821</v>
      </c>
      <c r="G214" s="2" t="s">
        <v>822</v>
      </c>
      <c r="H214">
        <v>537953816</v>
      </c>
      <c r="I214" t="s">
        <v>823</v>
      </c>
    </row>
    <row r="215" spans="1:9" ht="86.4">
      <c r="A215" t="s">
        <v>3470</v>
      </c>
      <c r="B215" t="s">
        <v>766</v>
      </c>
      <c r="C215" s="1">
        <v>37895</v>
      </c>
      <c r="D215" t="s">
        <v>10</v>
      </c>
      <c r="E215">
        <v>1966553307</v>
      </c>
      <c r="F215" t="s">
        <v>824</v>
      </c>
      <c r="G215" s="2" t="s">
        <v>825</v>
      </c>
      <c r="H215">
        <v>880501716</v>
      </c>
      <c r="I215" t="s">
        <v>826</v>
      </c>
    </row>
    <row r="216" spans="1:9" ht="72">
      <c r="A216" t="s">
        <v>3479</v>
      </c>
      <c r="B216" t="s">
        <v>827</v>
      </c>
      <c r="C216" s="1">
        <v>18997</v>
      </c>
      <c r="D216" t="s">
        <v>15</v>
      </c>
      <c r="E216">
        <v>4771591030</v>
      </c>
      <c r="F216" t="s">
        <v>828</v>
      </c>
      <c r="G216" s="2" t="s">
        <v>829</v>
      </c>
      <c r="H216">
        <v>2971252967</v>
      </c>
      <c r="I216" t="s">
        <v>830</v>
      </c>
    </row>
    <row r="217" spans="1:9">
      <c r="A217" t="s">
        <v>3495</v>
      </c>
      <c r="B217" t="s">
        <v>831</v>
      </c>
      <c r="C217" s="1">
        <v>35992</v>
      </c>
      <c r="D217" t="s">
        <v>28</v>
      </c>
      <c r="E217">
        <v>3144158331</v>
      </c>
      <c r="F217" t="s">
        <v>832</v>
      </c>
      <c r="G217" t="s">
        <v>833</v>
      </c>
      <c r="H217">
        <v>6798363146</v>
      </c>
      <c r="I217" t="s">
        <v>834</v>
      </c>
    </row>
    <row r="218" spans="1:9" ht="86.4">
      <c r="A218" t="s">
        <v>3442</v>
      </c>
      <c r="B218" t="s">
        <v>835</v>
      </c>
      <c r="C218" s="1">
        <v>29281</v>
      </c>
      <c r="D218" t="s">
        <v>10</v>
      </c>
      <c r="E218">
        <v>914078754181</v>
      </c>
      <c r="F218" t="s">
        <v>836</v>
      </c>
      <c r="G218" s="2" t="s">
        <v>837</v>
      </c>
      <c r="H218">
        <v>8978610313</v>
      </c>
      <c r="I218" t="s">
        <v>838</v>
      </c>
    </row>
    <row r="219" spans="1:9" ht="72">
      <c r="A219" t="s">
        <v>3471</v>
      </c>
      <c r="B219" t="s">
        <v>839</v>
      </c>
      <c r="C219" s="1">
        <v>33242</v>
      </c>
      <c r="D219" t="s">
        <v>10</v>
      </c>
      <c r="E219">
        <v>6661347323</v>
      </c>
      <c r="F219" t="s">
        <v>840</v>
      </c>
      <c r="G219" s="2" t="s">
        <v>841</v>
      </c>
      <c r="H219">
        <v>765024120</v>
      </c>
      <c r="I219" t="s">
        <v>842</v>
      </c>
    </row>
    <row r="220" spans="1:9" ht="72">
      <c r="A220" t="s">
        <v>3544</v>
      </c>
      <c r="B220" t="s">
        <v>843</v>
      </c>
      <c r="C220" s="1">
        <v>18259</v>
      </c>
      <c r="D220" t="s">
        <v>28</v>
      </c>
      <c r="E220">
        <v>4388221145</v>
      </c>
      <c r="F220" t="s">
        <v>844</v>
      </c>
      <c r="G220" s="2" t="s">
        <v>845</v>
      </c>
      <c r="H220">
        <v>263257039</v>
      </c>
      <c r="I220" t="s">
        <v>846</v>
      </c>
    </row>
    <row r="221" spans="1:9" ht="100.8">
      <c r="A221" t="s">
        <v>3465</v>
      </c>
      <c r="B221" t="s">
        <v>56</v>
      </c>
      <c r="C221" s="1">
        <v>31370</v>
      </c>
      <c r="D221" t="s">
        <v>15</v>
      </c>
      <c r="E221">
        <v>8245569644</v>
      </c>
      <c r="F221" t="s">
        <v>847</v>
      </c>
      <c r="G221" s="2" t="s">
        <v>848</v>
      </c>
      <c r="H221">
        <v>7414070349</v>
      </c>
      <c r="I221" t="s">
        <v>849</v>
      </c>
    </row>
    <row r="222" spans="1:9" ht="100.8">
      <c r="A222" t="s">
        <v>3545</v>
      </c>
      <c r="B222" t="s">
        <v>851</v>
      </c>
      <c r="C222" s="1">
        <v>21250</v>
      </c>
      <c r="D222" t="s">
        <v>10</v>
      </c>
      <c r="E222">
        <v>4882142369</v>
      </c>
      <c r="F222" t="s">
        <v>852</v>
      </c>
      <c r="G222" s="2" t="s">
        <v>853</v>
      </c>
      <c r="H222">
        <v>4414978266</v>
      </c>
      <c r="I222" t="s">
        <v>854</v>
      </c>
    </row>
    <row r="223" spans="1:9" ht="86.4">
      <c r="A223" t="s">
        <v>3546</v>
      </c>
      <c r="B223" t="s">
        <v>855</v>
      </c>
      <c r="C223" s="1">
        <v>26630</v>
      </c>
      <c r="D223" t="s">
        <v>10</v>
      </c>
      <c r="E223">
        <v>7667080612</v>
      </c>
      <c r="F223" t="s">
        <v>856</v>
      </c>
      <c r="G223" s="2" t="s">
        <v>857</v>
      </c>
      <c r="H223">
        <v>4975019803</v>
      </c>
      <c r="I223" t="s">
        <v>858</v>
      </c>
    </row>
    <row r="224" spans="1:9" ht="100.8">
      <c r="A224" t="s">
        <v>3458</v>
      </c>
      <c r="B224" t="s">
        <v>792</v>
      </c>
      <c r="C224" s="1">
        <v>25554</v>
      </c>
      <c r="D224" t="s">
        <v>10</v>
      </c>
      <c r="E224">
        <v>793110291</v>
      </c>
      <c r="F224" t="s">
        <v>859</v>
      </c>
      <c r="G224" s="2" t="s">
        <v>860</v>
      </c>
      <c r="H224">
        <v>223288377</v>
      </c>
      <c r="I224" t="s">
        <v>861</v>
      </c>
    </row>
    <row r="225" spans="1:9" ht="86.4">
      <c r="A225" t="s">
        <v>3547</v>
      </c>
      <c r="B225" t="s">
        <v>681</v>
      </c>
      <c r="C225" s="1">
        <v>37707</v>
      </c>
      <c r="D225" t="s">
        <v>15</v>
      </c>
      <c r="E225">
        <v>917662047196</v>
      </c>
      <c r="F225" t="s">
        <v>862</v>
      </c>
      <c r="G225" s="2" t="s">
        <v>863</v>
      </c>
      <c r="H225">
        <v>5724461767</v>
      </c>
      <c r="I225" t="s">
        <v>864</v>
      </c>
    </row>
    <row r="226" spans="1:9" ht="72">
      <c r="A226" t="s">
        <v>3542</v>
      </c>
      <c r="B226" t="s">
        <v>124</v>
      </c>
      <c r="C226" s="1">
        <v>32462</v>
      </c>
      <c r="D226" t="s">
        <v>10</v>
      </c>
      <c r="E226">
        <v>5996100231</v>
      </c>
      <c r="F226" t="s">
        <v>865</v>
      </c>
      <c r="G226" s="2" t="s">
        <v>866</v>
      </c>
      <c r="H226">
        <v>7629833477</v>
      </c>
      <c r="I226" t="s">
        <v>867</v>
      </c>
    </row>
    <row r="227" spans="1:9">
      <c r="A227" t="s">
        <v>3527</v>
      </c>
      <c r="B227" t="s">
        <v>868</v>
      </c>
      <c r="C227" s="1">
        <v>18429</v>
      </c>
      <c r="D227" t="s">
        <v>28</v>
      </c>
      <c r="E227">
        <v>1302056981</v>
      </c>
      <c r="F227" t="s">
        <v>869</v>
      </c>
      <c r="G227" t="s">
        <v>870</v>
      </c>
      <c r="H227">
        <v>8411730985</v>
      </c>
      <c r="I227" t="s">
        <v>871</v>
      </c>
    </row>
    <row r="228" spans="1:9" ht="72">
      <c r="A228" t="s">
        <v>3488</v>
      </c>
      <c r="B228" t="s">
        <v>872</v>
      </c>
      <c r="C228" s="1">
        <v>31110</v>
      </c>
      <c r="D228" t="s">
        <v>28</v>
      </c>
      <c r="E228">
        <v>3898469081</v>
      </c>
      <c r="F228" t="s">
        <v>873</v>
      </c>
      <c r="G228" s="2" t="s">
        <v>874</v>
      </c>
      <c r="H228">
        <v>1699187240</v>
      </c>
      <c r="I228" t="s">
        <v>875</v>
      </c>
    </row>
    <row r="229" spans="1:9" ht="72">
      <c r="A229" t="s">
        <v>3458</v>
      </c>
      <c r="B229" t="s">
        <v>876</v>
      </c>
      <c r="C229" s="1">
        <v>38949</v>
      </c>
      <c r="D229" t="s">
        <v>10</v>
      </c>
      <c r="E229">
        <v>910003896087</v>
      </c>
      <c r="F229" t="s">
        <v>877</v>
      </c>
      <c r="G229" s="2" t="s">
        <v>878</v>
      </c>
      <c r="H229">
        <v>3689003010</v>
      </c>
      <c r="I229" t="s">
        <v>879</v>
      </c>
    </row>
    <row r="230" spans="1:9" ht="72">
      <c r="A230" t="s">
        <v>3548</v>
      </c>
      <c r="B230" t="s">
        <v>880</v>
      </c>
      <c r="C230" s="1">
        <v>21051</v>
      </c>
      <c r="D230" t="s">
        <v>10</v>
      </c>
      <c r="E230">
        <v>6711148375</v>
      </c>
      <c r="F230" t="s">
        <v>881</v>
      </c>
      <c r="G230" s="2" t="s">
        <v>882</v>
      </c>
      <c r="H230">
        <v>4831520377</v>
      </c>
      <c r="I230" t="s">
        <v>883</v>
      </c>
    </row>
    <row r="231" spans="1:9" ht="72">
      <c r="A231" t="s">
        <v>3549</v>
      </c>
      <c r="B231" t="s">
        <v>884</v>
      </c>
      <c r="C231" s="1">
        <v>24763</v>
      </c>
      <c r="D231" t="s">
        <v>28</v>
      </c>
      <c r="E231">
        <v>6706670336</v>
      </c>
      <c r="F231" t="s">
        <v>885</v>
      </c>
      <c r="G231" s="2" t="s">
        <v>886</v>
      </c>
      <c r="H231">
        <v>6998426732</v>
      </c>
      <c r="I231" t="s">
        <v>887</v>
      </c>
    </row>
    <row r="232" spans="1:9">
      <c r="A232" t="s">
        <v>3537</v>
      </c>
      <c r="B232" t="s">
        <v>888</v>
      </c>
      <c r="C232" s="1">
        <v>18786</v>
      </c>
      <c r="D232" t="s">
        <v>28</v>
      </c>
      <c r="E232">
        <v>4544901495</v>
      </c>
      <c r="F232" t="s">
        <v>889</v>
      </c>
      <c r="G232" t="s">
        <v>890</v>
      </c>
      <c r="H232">
        <v>1724447232</v>
      </c>
      <c r="I232" t="s">
        <v>891</v>
      </c>
    </row>
    <row r="233" spans="1:9" ht="86.4">
      <c r="A233" t="s">
        <v>3550</v>
      </c>
      <c r="B233" t="s">
        <v>892</v>
      </c>
      <c r="C233" s="1">
        <v>28770</v>
      </c>
      <c r="D233" t="s">
        <v>10</v>
      </c>
      <c r="E233">
        <v>5083044058</v>
      </c>
      <c r="F233" t="s">
        <v>893</v>
      </c>
      <c r="G233" s="2" t="s">
        <v>894</v>
      </c>
      <c r="H233">
        <v>5749025042</v>
      </c>
      <c r="I233" t="s">
        <v>895</v>
      </c>
    </row>
    <row r="234" spans="1:9" ht="57.6">
      <c r="A234" t="s">
        <v>3551</v>
      </c>
      <c r="B234" t="s">
        <v>718</v>
      </c>
      <c r="C234" s="1">
        <v>30457</v>
      </c>
      <c r="D234" t="s">
        <v>28</v>
      </c>
      <c r="E234">
        <v>5369026113</v>
      </c>
      <c r="F234" t="s">
        <v>896</v>
      </c>
      <c r="G234" s="2" t="s">
        <v>897</v>
      </c>
      <c r="H234">
        <v>7651588157</v>
      </c>
      <c r="I234" t="s">
        <v>898</v>
      </c>
    </row>
    <row r="235" spans="1:9" ht="86.4">
      <c r="A235" t="s">
        <v>3552</v>
      </c>
      <c r="B235" t="s">
        <v>803</v>
      </c>
      <c r="C235" s="1">
        <v>34581</v>
      </c>
      <c r="D235" t="s">
        <v>15</v>
      </c>
      <c r="E235">
        <v>2944551166</v>
      </c>
      <c r="F235" t="s">
        <v>899</v>
      </c>
      <c r="G235" s="2" t="s">
        <v>900</v>
      </c>
      <c r="H235">
        <v>8665268341</v>
      </c>
      <c r="I235" t="s">
        <v>901</v>
      </c>
    </row>
    <row r="236" spans="1:9">
      <c r="A236" t="s">
        <v>3473</v>
      </c>
      <c r="B236" t="s">
        <v>902</v>
      </c>
      <c r="C236" s="1">
        <v>28984</v>
      </c>
      <c r="D236" t="s">
        <v>15</v>
      </c>
      <c r="E236">
        <v>7647229812</v>
      </c>
      <c r="F236" t="s">
        <v>903</v>
      </c>
      <c r="G236" t="s">
        <v>904</v>
      </c>
      <c r="H236">
        <v>6849951542</v>
      </c>
      <c r="I236" t="s">
        <v>905</v>
      </c>
    </row>
    <row r="237" spans="1:9" ht="86.4">
      <c r="A237" t="s">
        <v>3470</v>
      </c>
      <c r="B237" t="s">
        <v>906</v>
      </c>
      <c r="C237" s="1">
        <v>20464</v>
      </c>
      <c r="D237" t="s">
        <v>15</v>
      </c>
      <c r="E237">
        <v>914213882090</v>
      </c>
      <c r="F237" t="s">
        <v>907</v>
      </c>
      <c r="G237" s="2" t="s">
        <v>908</v>
      </c>
      <c r="H237">
        <v>3152854781</v>
      </c>
      <c r="I237" t="s">
        <v>909</v>
      </c>
    </row>
    <row r="238" spans="1:9" ht="86.4">
      <c r="A238" t="s">
        <v>3487</v>
      </c>
      <c r="B238" t="s">
        <v>210</v>
      </c>
      <c r="C238" s="1">
        <v>38646</v>
      </c>
      <c r="D238" t="s">
        <v>15</v>
      </c>
      <c r="E238">
        <v>32963347</v>
      </c>
      <c r="F238" t="s">
        <v>910</v>
      </c>
      <c r="G238" s="2" t="s">
        <v>911</v>
      </c>
      <c r="H238">
        <v>5782434776</v>
      </c>
      <c r="I238" t="s">
        <v>912</v>
      </c>
    </row>
    <row r="239" spans="1:9" ht="86.4">
      <c r="A239" t="s">
        <v>3474</v>
      </c>
      <c r="B239" t="s">
        <v>230</v>
      </c>
      <c r="C239" s="1">
        <v>28256</v>
      </c>
      <c r="D239" t="s">
        <v>28</v>
      </c>
      <c r="E239">
        <v>5361275156</v>
      </c>
      <c r="F239" t="s">
        <v>913</v>
      </c>
      <c r="G239" s="2" t="s">
        <v>914</v>
      </c>
      <c r="H239">
        <v>473504763</v>
      </c>
      <c r="I239" t="s">
        <v>915</v>
      </c>
    </row>
    <row r="240" spans="1:9">
      <c r="A240" t="s">
        <v>3476</v>
      </c>
      <c r="B240" t="s">
        <v>160</v>
      </c>
      <c r="C240" s="1">
        <v>32863</v>
      </c>
      <c r="D240" t="s">
        <v>15</v>
      </c>
      <c r="E240">
        <v>61558108</v>
      </c>
      <c r="F240" t="s">
        <v>916</v>
      </c>
      <c r="G240" t="s">
        <v>917</v>
      </c>
      <c r="H240">
        <v>244033041</v>
      </c>
      <c r="I240" t="s">
        <v>918</v>
      </c>
    </row>
    <row r="241" spans="1:9" ht="72">
      <c r="A241" t="s">
        <v>3413</v>
      </c>
      <c r="B241" t="s">
        <v>68</v>
      </c>
      <c r="C241" s="1">
        <v>36036</v>
      </c>
      <c r="D241" t="s">
        <v>10</v>
      </c>
      <c r="E241">
        <v>89219639</v>
      </c>
      <c r="F241" t="s">
        <v>919</v>
      </c>
      <c r="G241" s="2" t="s">
        <v>920</v>
      </c>
      <c r="H241">
        <v>8836076581</v>
      </c>
      <c r="I241" t="s">
        <v>921</v>
      </c>
    </row>
    <row r="242" spans="1:9" ht="86.4">
      <c r="A242" t="s">
        <v>3521</v>
      </c>
      <c r="B242" t="s">
        <v>376</v>
      </c>
      <c r="C242" s="1">
        <v>20534</v>
      </c>
      <c r="D242" t="s">
        <v>10</v>
      </c>
      <c r="E242">
        <v>4521182379</v>
      </c>
      <c r="F242" t="s">
        <v>922</v>
      </c>
      <c r="G242" s="2" t="s">
        <v>923</v>
      </c>
      <c r="H242">
        <v>3878753577</v>
      </c>
      <c r="I242" t="s">
        <v>924</v>
      </c>
    </row>
    <row r="243" spans="1:9" ht="86.4">
      <c r="A243" t="s">
        <v>3464</v>
      </c>
      <c r="B243" t="s">
        <v>925</v>
      </c>
      <c r="C243" s="1">
        <v>21855</v>
      </c>
      <c r="D243" t="s">
        <v>15</v>
      </c>
      <c r="E243">
        <v>1237106728</v>
      </c>
      <c r="F243" t="s">
        <v>926</v>
      </c>
      <c r="G243" s="2" t="s">
        <v>927</v>
      </c>
      <c r="H243">
        <v>8395894773</v>
      </c>
      <c r="I243" t="s">
        <v>928</v>
      </c>
    </row>
    <row r="244" spans="1:9" ht="57.6">
      <c r="A244" t="s">
        <v>3515</v>
      </c>
      <c r="B244" t="s">
        <v>929</v>
      </c>
      <c r="C244" s="1">
        <v>29521</v>
      </c>
      <c r="D244" t="s">
        <v>10</v>
      </c>
      <c r="E244">
        <v>910433187510</v>
      </c>
      <c r="F244" t="s">
        <v>930</v>
      </c>
      <c r="G244" s="2" t="s">
        <v>931</v>
      </c>
      <c r="H244">
        <v>2134249128</v>
      </c>
      <c r="I244" t="s">
        <v>932</v>
      </c>
    </row>
    <row r="245" spans="1:9" ht="86.4">
      <c r="A245" t="s">
        <v>3507</v>
      </c>
      <c r="B245" t="s">
        <v>933</v>
      </c>
      <c r="C245" s="1">
        <v>33134</v>
      </c>
      <c r="D245" t="s">
        <v>15</v>
      </c>
      <c r="E245">
        <v>7320331922</v>
      </c>
      <c r="F245" t="s">
        <v>934</v>
      </c>
      <c r="G245" s="2" t="s">
        <v>935</v>
      </c>
      <c r="H245">
        <v>5819324268</v>
      </c>
      <c r="I245" t="s">
        <v>936</v>
      </c>
    </row>
    <row r="246" spans="1:9">
      <c r="A246" t="s">
        <v>3499</v>
      </c>
      <c r="B246" t="s">
        <v>629</v>
      </c>
      <c r="C246" s="1">
        <v>26916</v>
      </c>
      <c r="D246" t="s">
        <v>15</v>
      </c>
      <c r="E246">
        <v>5639836520</v>
      </c>
      <c r="F246" t="s">
        <v>937</v>
      </c>
      <c r="G246" t="s">
        <v>938</v>
      </c>
      <c r="H246">
        <v>9079772781</v>
      </c>
      <c r="I246" t="s">
        <v>939</v>
      </c>
    </row>
    <row r="247" spans="1:9">
      <c r="A247" t="s">
        <v>3440</v>
      </c>
      <c r="B247" t="s">
        <v>940</v>
      </c>
      <c r="C247" s="1">
        <v>28255</v>
      </c>
      <c r="D247" t="s">
        <v>15</v>
      </c>
      <c r="E247">
        <v>910705184390</v>
      </c>
      <c r="F247" t="s">
        <v>941</v>
      </c>
      <c r="G247" t="s">
        <v>942</v>
      </c>
      <c r="H247">
        <v>6204485157</v>
      </c>
      <c r="I247" t="s">
        <v>943</v>
      </c>
    </row>
    <row r="248" spans="1:9" ht="86.4">
      <c r="A248" t="s">
        <v>3527</v>
      </c>
      <c r="B248" t="s">
        <v>944</v>
      </c>
      <c r="C248" s="1">
        <v>25718</v>
      </c>
      <c r="D248" t="s">
        <v>10</v>
      </c>
      <c r="E248">
        <v>203571343</v>
      </c>
      <c r="F248" t="s">
        <v>945</v>
      </c>
      <c r="G248" s="2" t="s">
        <v>946</v>
      </c>
      <c r="H248">
        <v>8720962893</v>
      </c>
      <c r="I248" t="s">
        <v>947</v>
      </c>
    </row>
    <row r="249" spans="1:9" ht="72">
      <c r="A249" t="s">
        <v>3420</v>
      </c>
      <c r="B249" t="s">
        <v>214</v>
      </c>
      <c r="C249" s="1">
        <v>20082</v>
      </c>
      <c r="D249" t="s">
        <v>10</v>
      </c>
      <c r="E249">
        <v>3437401827</v>
      </c>
      <c r="F249" t="s">
        <v>948</v>
      </c>
      <c r="G249" s="2" t="s">
        <v>949</v>
      </c>
      <c r="H249">
        <v>797996673</v>
      </c>
      <c r="I249" t="s">
        <v>950</v>
      </c>
    </row>
    <row r="250" spans="1:9" ht="86.4">
      <c r="A250" t="s">
        <v>3553</v>
      </c>
      <c r="B250" t="s">
        <v>68</v>
      </c>
      <c r="C250" s="1">
        <v>30427</v>
      </c>
      <c r="D250" t="s">
        <v>15</v>
      </c>
      <c r="E250">
        <v>916649690282</v>
      </c>
      <c r="F250" t="s">
        <v>951</v>
      </c>
      <c r="G250" s="2" t="s">
        <v>952</v>
      </c>
      <c r="H250">
        <v>1233613285</v>
      </c>
      <c r="I250" t="s">
        <v>953</v>
      </c>
    </row>
    <row r="251" spans="1:9" ht="57.6">
      <c r="A251" t="s">
        <v>3542</v>
      </c>
      <c r="B251" t="s">
        <v>954</v>
      </c>
      <c r="C251" s="1">
        <v>29566</v>
      </c>
      <c r="D251" t="s">
        <v>15</v>
      </c>
      <c r="E251">
        <v>6731625265</v>
      </c>
      <c r="F251" t="s">
        <v>955</v>
      </c>
      <c r="G251" s="2" t="s">
        <v>956</v>
      </c>
      <c r="H251">
        <v>6132730346</v>
      </c>
      <c r="I251" t="s">
        <v>957</v>
      </c>
    </row>
    <row r="252" spans="1:9" ht="86.4">
      <c r="A252" t="s">
        <v>3436</v>
      </c>
      <c r="B252" t="s">
        <v>644</v>
      </c>
      <c r="C252" s="1">
        <v>29773</v>
      </c>
      <c r="D252" t="s">
        <v>15</v>
      </c>
      <c r="E252">
        <v>914622681715</v>
      </c>
      <c r="F252" t="s">
        <v>958</v>
      </c>
      <c r="G252" s="2" t="s">
        <v>959</v>
      </c>
      <c r="H252">
        <v>8512686120</v>
      </c>
      <c r="I252" t="s">
        <v>960</v>
      </c>
    </row>
    <row r="253" spans="1:9" ht="72">
      <c r="A253" t="s">
        <v>3545</v>
      </c>
      <c r="B253" t="s">
        <v>961</v>
      </c>
      <c r="C253" s="1">
        <v>24829</v>
      </c>
      <c r="D253" t="s">
        <v>15</v>
      </c>
      <c r="E253">
        <v>911775095465</v>
      </c>
      <c r="F253" t="s">
        <v>962</v>
      </c>
      <c r="G253" s="2" t="s">
        <v>963</v>
      </c>
      <c r="H253">
        <v>1812276457</v>
      </c>
      <c r="I253" t="s">
        <v>964</v>
      </c>
    </row>
    <row r="254" spans="1:9" ht="72">
      <c r="A254" t="s">
        <v>3428</v>
      </c>
      <c r="B254" t="s">
        <v>965</v>
      </c>
      <c r="C254" s="1">
        <v>32972</v>
      </c>
      <c r="D254" t="s">
        <v>28</v>
      </c>
      <c r="E254">
        <v>1681546602</v>
      </c>
      <c r="F254" t="s">
        <v>966</v>
      </c>
      <c r="G254" s="2" t="s">
        <v>967</v>
      </c>
      <c r="H254">
        <v>4809624406</v>
      </c>
      <c r="I254" t="s">
        <v>968</v>
      </c>
    </row>
    <row r="255" spans="1:9" ht="72">
      <c r="A255" t="s">
        <v>3528</v>
      </c>
      <c r="B255" t="s">
        <v>969</v>
      </c>
      <c r="C255" s="1">
        <v>20241</v>
      </c>
      <c r="D255" t="s">
        <v>15</v>
      </c>
      <c r="E255">
        <v>913053194979</v>
      </c>
      <c r="F255" t="s">
        <v>970</v>
      </c>
      <c r="G255" s="2" t="s">
        <v>971</v>
      </c>
      <c r="H255">
        <v>9178513854</v>
      </c>
      <c r="I255" t="s">
        <v>972</v>
      </c>
    </row>
    <row r="256" spans="1:9" ht="72">
      <c r="A256" t="s">
        <v>3438</v>
      </c>
      <c r="B256" t="s">
        <v>973</v>
      </c>
      <c r="C256" s="1">
        <v>31867</v>
      </c>
      <c r="D256" t="s">
        <v>10</v>
      </c>
      <c r="E256">
        <v>6048736826</v>
      </c>
      <c r="F256" t="s">
        <v>974</v>
      </c>
      <c r="G256" s="2" t="s">
        <v>975</v>
      </c>
      <c r="H256">
        <v>3677472264</v>
      </c>
      <c r="I256" t="s">
        <v>976</v>
      </c>
    </row>
    <row r="257" spans="1:9" ht="72">
      <c r="A257" t="s">
        <v>3554</v>
      </c>
      <c r="B257" t="s">
        <v>977</v>
      </c>
      <c r="C257" s="1">
        <v>28218</v>
      </c>
      <c r="D257" t="s">
        <v>15</v>
      </c>
      <c r="E257">
        <v>6309329981</v>
      </c>
      <c r="F257" t="s">
        <v>978</v>
      </c>
      <c r="G257" s="2" t="s">
        <v>979</v>
      </c>
      <c r="H257">
        <v>2410397739</v>
      </c>
      <c r="I257" t="s">
        <v>980</v>
      </c>
    </row>
    <row r="258" spans="1:9" ht="72">
      <c r="A258" t="s">
        <v>3476</v>
      </c>
      <c r="B258" t="s">
        <v>933</v>
      </c>
      <c r="C258" s="1">
        <v>21785</v>
      </c>
      <c r="D258" t="s">
        <v>28</v>
      </c>
      <c r="E258">
        <v>917100687616</v>
      </c>
      <c r="F258" t="s">
        <v>981</v>
      </c>
      <c r="G258" s="2" t="s">
        <v>982</v>
      </c>
      <c r="H258">
        <v>4912565237</v>
      </c>
      <c r="I258" t="s">
        <v>983</v>
      </c>
    </row>
    <row r="259" spans="1:9" ht="72">
      <c r="A259" t="s">
        <v>3449</v>
      </c>
      <c r="B259" t="s">
        <v>906</v>
      </c>
      <c r="C259" s="1">
        <v>23909</v>
      </c>
      <c r="D259" t="s">
        <v>10</v>
      </c>
      <c r="E259">
        <v>5475749490</v>
      </c>
      <c r="F259" t="s">
        <v>984</v>
      </c>
      <c r="G259" s="2" t="s">
        <v>985</v>
      </c>
      <c r="H259">
        <v>3039429045</v>
      </c>
      <c r="I259" t="s">
        <v>986</v>
      </c>
    </row>
    <row r="260" spans="1:9">
      <c r="A260" t="s">
        <v>3460</v>
      </c>
      <c r="B260" t="s">
        <v>987</v>
      </c>
      <c r="C260" s="1">
        <v>30281</v>
      </c>
      <c r="D260" t="s">
        <v>28</v>
      </c>
      <c r="E260">
        <v>8567287276</v>
      </c>
      <c r="F260" t="s">
        <v>988</v>
      </c>
      <c r="G260" t="s">
        <v>989</v>
      </c>
      <c r="H260">
        <v>4888107983</v>
      </c>
      <c r="I260" t="s">
        <v>990</v>
      </c>
    </row>
    <row r="261" spans="1:9" ht="72">
      <c r="A261" t="s">
        <v>3555</v>
      </c>
      <c r="B261" t="s">
        <v>991</v>
      </c>
      <c r="C261" s="1">
        <v>24432</v>
      </c>
      <c r="D261" t="s">
        <v>15</v>
      </c>
      <c r="E261">
        <v>4131284033</v>
      </c>
      <c r="F261" t="s">
        <v>992</v>
      </c>
      <c r="G261" s="2" t="s">
        <v>993</v>
      </c>
      <c r="H261">
        <v>6173997046</v>
      </c>
      <c r="I261" t="s">
        <v>994</v>
      </c>
    </row>
    <row r="262" spans="1:9">
      <c r="A262" t="s">
        <v>3443</v>
      </c>
      <c r="B262" t="s">
        <v>995</v>
      </c>
      <c r="C262" s="1">
        <v>24393</v>
      </c>
      <c r="D262" t="s">
        <v>10</v>
      </c>
      <c r="E262">
        <v>3548847127</v>
      </c>
      <c r="F262" t="s">
        <v>996</v>
      </c>
      <c r="G262" t="s">
        <v>997</v>
      </c>
      <c r="H262">
        <v>1493925236</v>
      </c>
      <c r="I262" t="s">
        <v>998</v>
      </c>
    </row>
    <row r="263" spans="1:9" ht="72">
      <c r="A263" t="s">
        <v>3556</v>
      </c>
      <c r="B263" t="s">
        <v>319</v>
      </c>
      <c r="C263" s="1">
        <v>37207</v>
      </c>
      <c r="D263" t="s">
        <v>15</v>
      </c>
      <c r="E263">
        <v>4347452455</v>
      </c>
      <c r="F263" t="s">
        <v>999</v>
      </c>
      <c r="G263" s="2" t="s">
        <v>1000</v>
      </c>
      <c r="H263">
        <v>566588339</v>
      </c>
      <c r="I263" t="s">
        <v>1001</v>
      </c>
    </row>
    <row r="264" spans="1:9" ht="72">
      <c r="A264" t="s">
        <v>3521</v>
      </c>
      <c r="B264" t="s">
        <v>1002</v>
      </c>
      <c r="C264" s="1">
        <v>32564</v>
      </c>
      <c r="D264" t="s">
        <v>10</v>
      </c>
      <c r="E264">
        <v>673499601</v>
      </c>
      <c r="F264" t="s">
        <v>1003</v>
      </c>
      <c r="G264" s="2" t="s">
        <v>1004</v>
      </c>
      <c r="H264">
        <v>8488402155</v>
      </c>
      <c r="I264" t="s">
        <v>1005</v>
      </c>
    </row>
    <row r="265" spans="1:9" ht="72">
      <c r="A265" t="s">
        <v>3494</v>
      </c>
      <c r="B265" t="s">
        <v>1006</v>
      </c>
      <c r="C265" s="1">
        <v>35326</v>
      </c>
      <c r="D265" t="s">
        <v>10</v>
      </c>
      <c r="E265">
        <v>4902166670</v>
      </c>
      <c r="F265" t="s">
        <v>1007</v>
      </c>
      <c r="G265" s="2" t="s">
        <v>1008</v>
      </c>
      <c r="H265">
        <v>1647725129</v>
      </c>
      <c r="I265" t="s">
        <v>1009</v>
      </c>
    </row>
    <row r="266" spans="1:9">
      <c r="A266" t="s">
        <v>3438</v>
      </c>
      <c r="B266" t="s">
        <v>1010</v>
      </c>
      <c r="C266" s="1">
        <v>27519</v>
      </c>
      <c r="D266" t="s">
        <v>10</v>
      </c>
      <c r="E266">
        <v>910356243958</v>
      </c>
      <c r="F266" t="s">
        <v>1011</v>
      </c>
      <c r="G266" t="s">
        <v>1012</v>
      </c>
      <c r="H266">
        <v>3334264335</v>
      </c>
      <c r="I266" t="s">
        <v>1013</v>
      </c>
    </row>
    <row r="267" spans="1:9" ht="57.6">
      <c r="A267" t="s">
        <v>3557</v>
      </c>
      <c r="B267" t="s">
        <v>1014</v>
      </c>
      <c r="C267" s="1">
        <v>19050</v>
      </c>
      <c r="D267" t="s">
        <v>28</v>
      </c>
      <c r="E267">
        <v>7633691128</v>
      </c>
      <c r="F267" t="s">
        <v>1015</v>
      </c>
      <c r="G267" s="2" t="s">
        <v>1016</v>
      </c>
      <c r="H267">
        <v>6615541643</v>
      </c>
      <c r="I267" t="s">
        <v>1017</v>
      </c>
    </row>
    <row r="268" spans="1:9" ht="86.4">
      <c r="A268" t="s">
        <v>3444</v>
      </c>
      <c r="B268" t="s">
        <v>1018</v>
      </c>
      <c r="C268" s="1">
        <v>24015</v>
      </c>
      <c r="D268" t="s">
        <v>15</v>
      </c>
      <c r="E268">
        <v>919028227009</v>
      </c>
      <c r="F268" t="s">
        <v>1019</v>
      </c>
      <c r="G268" s="2" t="s">
        <v>1020</v>
      </c>
      <c r="H268">
        <v>5070260869</v>
      </c>
      <c r="I268" t="s">
        <v>1021</v>
      </c>
    </row>
    <row r="269" spans="1:9">
      <c r="A269" t="s">
        <v>3452</v>
      </c>
      <c r="B269" t="s">
        <v>9</v>
      </c>
      <c r="C269" s="1">
        <v>29650</v>
      </c>
      <c r="D269" t="s">
        <v>28</v>
      </c>
      <c r="E269">
        <v>6872904774</v>
      </c>
      <c r="F269" t="s">
        <v>1022</v>
      </c>
      <c r="G269" t="s">
        <v>1023</v>
      </c>
      <c r="H269">
        <v>2457988942</v>
      </c>
      <c r="I269" t="s">
        <v>1024</v>
      </c>
    </row>
    <row r="270" spans="1:9" ht="72">
      <c r="A270" t="s">
        <v>3547</v>
      </c>
      <c r="B270" t="s">
        <v>1025</v>
      </c>
      <c r="C270" s="1">
        <v>19020</v>
      </c>
      <c r="D270" t="s">
        <v>28</v>
      </c>
      <c r="E270">
        <v>912020326509</v>
      </c>
      <c r="F270" t="s">
        <v>1026</v>
      </c>
      <c r="G270" s="2" t="s">
        <v>1027</v>
      </c>
      <c r="H270">
        <v>7158415608</v>
      </c>
      <c r="I270" t="s">
        <v>1028</v>
      </c>
    </row>
    <row r="271" spans="1:9" ht="72">
      <c r="A271" t="s">
        <v>3467</v>
      </c>
      <c r="B271" t="s">
        <v>234</v>
      </c>
      <c r="C271" s="1">
        <v>26467</v>
      </c>
      <c r="D271" t="s">
        <v>15</v>
      </c>
      <c r="E271">
        <v>7681826832</v>
      </c>
      <c r="F271" t="s">
        <v>1029</v>
      </c>
      <c r="G271" s="2" t="s">
        <v>1030</v>
      </c>
      <c r="H271">
        <v>646867752</v>
      </c>
      <c r="I271" t="s">
        <v>1031</v>
      </c>
    </row>
    <row r="272" spans="1:9" ht="72">
      <c r="A272" t="s">
        <v>3415</v>
      </c>
      <c r="B272" t="s">
        <v>827</v>
      </c>
      <c r="C272" s="1">
        <v>32590</v>
      </c>
      <c r="D272" t="s">
        <v>15</v>
      </c>
      <c r="E272">
        <v>910622723626</v>
      </c>
      <c r="F272" t="s">
        <v>1032</v>
      </c>
      <c r="G272" s="2" t="s">
        <v>1033</v>
      </c>
      <c r="H272">
        <v>4819737418</v>
      </c>
      <c r="I272" t="s">
        <v>1034</v>
      </c>
    </row>
    <row r="273" spans="1:9" ht="86.4">
      <c r="A273" t="s">
        <v>3533</v>
      </c>
      <c r="B273" t="s">
        <v>1035</v>
      </c>
      <c r="C273" s="1">
        <v>24176</v>
      </c>
      <c r="D273" t="s">
        <v>15</v>
      </c>
      <c r="E273">
        <v>917692743811</v>
      </c>
      <c r="F273" t="s">
        <v>1036</v>
      </c>
      <c r="G273" s="2" t="s">
        <v>1037</v>
      </c>
      <c r="H273">
        <v>9739641789</v>
      </c>
      <c r="I273" t="s">
        <v>1038</v>
      </c>
    </row>
    <row r="274" spans="1:9">
      <c r="A274" t="s">
        <v>3558</v>
      </c>
      <c r="B274" t="s">
        <v>1035</v>
      </c>
      <c r="C274" s="1">
        <v>37552</v>
      </c>
      <c r="D274" t="s">
        <v>10</v>
      </c>
      <c r="E274">
        <v>1911359966</v>
      </c>
      <c r="F274" t="s">
        <v>1039</v>
      </c>
      <c r="G274" t="s">
        <v>1040</v>
      </c>
      <c r="H274">
        <v>4705742388</v>
      </c>
      <c r="I274" t="s">
        <v>1041</v>
      </c>
    </row>
    <row r="275" spans="1:9" ht="72">
      <c r="A275" t="s">
        <v>3425</v>
      </c>
      <c r="B275" t="s">
        <v>601</v>
      </c>
      <c r="C275" s="1">
        <v>37839</v>
      </c>
      <c r="D275" t="s">
        <v>28</v>
      </c>
      <c r="E275">
        <v>915411659726</v>
      </c>
      <c r="F275" t="s">
        <v>1042</v>
      </c>
      <c r="G275" s="2" t="s">
        <v>1043</v>
      </c>
      <c r="H275">
        <v>3119642585</v>
      </c>
      <c r="I275" t="s">
        <v>1044</v>
      </c>
    </row>
    <row r="276" spans="1:9" ht="72">
      <c r="A276" t="s">
        <v>3549</v>
      </c>
      <c r="B276" t="s">
        <v>124</v>
      </c>
      <c r="C276" s="1">
        <v>23415</v>
      </c>
      <c r="D276" t="s">
        <v>28</v>
      </c>
      <c r="E276">
        <v>382407333</v>
      </c>
      <c r="F276" t="s">
        <v>1045</v>
      </c>
      <c r="G276" s="2" t="s">
        <v>1046</v>
      </c>
      <c r="H276">
        <v>5465535851</v>
      </c>
      <c r="I276" t="s">
        <v>1047</v>
      </c>
    </row>
    <row r="277" spans="1:9" ht="86.4">
      <c r="A277" t="s">
        <v>3559</v>
      </c>
      <c r="B277" t="s">
        <v>1048</v>
      </c>
      <c r="C277" s="1">
        <v>31133</v>
      </c>
      <c r="D277" t="s">
        <v>28</v>
      </c>
      <c r="E277">
        <v>1935837490</v>
      </c>
      <c r="F277" t="s">
        <v>1049</v>
      </c>
      <c r="G277" s="2" t="s">
        <v>1050</v>
      </c>
      <c r="H277">
        <v>976263748</v>
      </c>
      <c r="I277" t="s">
        <v>1051</v>
      </c>
    </row>
    <row r="278" spans="1:9" ht="72">
      <c r="A278" t="s">
        <v>3445</v>
      </c>
      <c r="B278" t="s">
        <v>291</v>
      </c>
      <c r="C278" s="1">
        <v>32413</v>
      </c>
      <c r="D278" t="s">
        <v>28</v>
      </c>
      <c r="E278">
        <v>905911918</v>
      </c>
      <c r="F278" t="s">
        <v>1052</v>
      </c>
      <c r="G278" s="2" t="s">
        <v>1053</v>
      </c>
      <c r="H278">
        <v>1452647124</v>
      </c>
      <c r="I278" t="s">
        <v>1054</v>
      </c>
    </row>
    <row r="279" spans="1:9">
      <c r="A279" t="s">
        <v>3508</v>
      </c>
      <c r="B279" t="s">
        <v>1055</v>
      </c>
      <c r="C279" s="1">
        <v>30847</v>
      </c>
      <c r="D279" t="s">
        <v>28</v>
      </c>
      <c r="E279">
        <v>908051208</v>
      </c>
      <c r="F279" t="s">
        <v>1056</v>
      </c>
      <c r="G279" t="s">
        <v>1057</v>
      </c>
      <c r="H279">
        <v>2827090814</v>
      </c>
      <c r="I279" t="s">
        <v>1058</v>
      </c>
    </row>
    <row r="280" spans="1:9" ht="86.4">
      <c r="A280" t="s">
        <v>3496</v>
      </c>
      <c r="B280" t="s">
        <v>330</v>
      </c>
      <c r="C280" s="1">
        <v>21685</v>
      </c>
      <c r="D280" t="s">
        <v>10</v>
      </c>
      <c r="E280">
        <v>5786718153</v>
      </c>
      <c r="F280" t="s">
        <v>1059</v>
      </c>
      <c r="G280" s="2" t="s">
        <v>1060</v>
      </c>
      <c r="H280">
        <v>3466661707</v>
      </c>
      <c r="I280" t="s">
        <v>1061</v>
      </c>
    </row>
    <row r="281" spans="1:9" ht="72">
      <c r="A281" t="s">
        <v>3560</v>
      </c>
      <c r="B281" t="s">
        <v>230</v>
      </c>
      <c r="C281" s="1">
        <v>36986</v>
      </c>
      <c r="D281" t="s">
        <v>15</v>
      </c>
      <c r="E281">
        <v>803149982</v>
      </c>
      <c r="F281" t="s">
        <v>1062</v>
      </c>
      <c r="G281" s="2" t="s">
        <v>1063</v>
      </c>
      <c r="H281">
        <v>5137399006</v>
      </c>
      <c r="I281" t="s">
        <v>1064</v>
      </c>
    </row>
    <row r="282" spans="1:9" ht="72">
      <c r="A282" t="s">
        <v>3501</v>
      </c>
      <c r="B282" t="s">
        <v>1065</v>
      </c>
      <c r="C282" s="1">
        <v>38650</v>
      </c>
      <c r="D282" t="s">
        <v>10</v>
      </c>
      <c r="E282">
        <v>229394694</v>
      </c>
      <c r="F282" t="s">
        <v>1066</v>
      </c>
      <c r="G282" s="2" t="s">
        <v>1067</v>
      </c>
      <c r="H282">
        <v>5246484494</v>
      </c>
      <c r="I282" t="s">
        <v>1068</v>
      </c>
    </row>
    <row r="283" spans="1:9" ht="72">
      <c r="A283" t="s">
        <v>3446</v>
      </c>
      <c r="B283" t="s">
        <v>497</v>
      </c>
      <c r="C283" s="1">
        <v>29482</v>
      </c>
      <c r="D283" t="s">
        <v>10</v>
      </c>
      <c r="E283">
        <v>1130621136</v>
      </c>
      <c r="F283" t="s">
        <v>1069</v>
      </c>
      <c r="G283" s="2" t="s">
        <v>1070</v>
      </c>
      <c r="H283">
        <v>2481323570</v>
      </c>
      <c r="I283" t="s">
        <v>1071</v>
      </c>
    </row>
    <row r="284" spans="1:9" ht="72">
      <c r="A284" t="s">
        <v>3561</v>
      </c>
      <c r="B284" t="s">
        <v>969</v>
      </c>
      <c r="C284" s="1">
        <v>19236</v>
      </c>
      <c r="D284" t="s">
        <v>10</v>
      </c>
      <c r="E284">
        <v>911688092550</v>
      </c>
      <c r="F284" t="s">
        <v>1072</v>
      </c>
      <c r="G284" s="2" t="s">
        <v>1073</v>
      </c>
      <c r="H284">
        <v>9457727853</v>
      </c>
      <c r="I284" t="s">
        <v>1074</v>
      </c>
    </row>
    <row r="285" spans="1:9" ht="72">
      <c r="A285" t="s">
        <v>3486</v>
      </c>
      <c r="B285" t="s">
        <v>1075</v>
      </c>
      <c r="C285" s="1">
        <v>25280</v>
      </c>
      <c r="D285" t="s">
        <v>15</v>
      </c>
      <c r="E285">
        <v>910768362536</v>
      </c>
      <c r="F285" t="s">
        <v>1076</v>
      </c>
      <c r="G285" s="2" t="s">
        <v>1077</v>
      </c>
      <c r="H285">
        <v>5786543627</v>
      </c>
      <c r="I285" t="s">
        <v>1078</v>
      </c>
    </row>
    <row r="286" spans="1:9" ht="57.6">
      <c r="A286" t="s">
        <v>3514</v>
      </c>
      <c r="B286" t="s">
        <v>1079</v>
      </c>
      <c r="C286" s="1">
        <v>31539</v>
      </c>
      <c r="D286" t="s">
        <v>15</v>
      </c>
      <c r="E286">
        <v>916862703692</v>
      </c>
      <c r="F286" t="s">
        <v>1080</v>
      </c>
      <c r="G286" s="2" t="s">
        <v>1081</v>
      </c>
      <c r="H286">
        <v>1000515532</v>
      </c>
      <c r="I286" t="s">
        <v>1082</v>
      </c>
    </row>
    <row r="287" spans="1:9" ht="100.8">
      <c r="A287" t="s">
        <v>3536</v>
      </c>
      <c r="B287" t="s">
        <v>226</v>
      </c>
      <c r="C287" s="1">
        <v>22182</v>
      </c>
      <c r="D287" t="s">
        <v>28</v>
      </c>
      <c r="E287">
        <v>4182226189</v>
      </c>
      <c r="F287" t="s">
        <v>1083</v>
      </c>
      <c r="G287" s="2" t="s">
        <v>1084</v>
      </c>
      <c r="H287">
        <v>9927079551</v>
      </c>
      <c r="I287" t="s">
        <v>1085</v>
      </c>
    </row>
    <row r="288" spans="1:9" ht="72">
      <c r="A288" t="s">
        <v>3562</v>
      </c>
      <c r="B288" t="s">
        <v>516</v>
      </c>
      <c r="C288" s="1">
        <v>34452</v>
      </c>
      <c r="D288" t="s">
        <v>10</v>
      </c>
      <c r="E288">
        <v>915415970996</v>
      </c>
      <c r="F288" t="s">
        <v>1086</v>
      </c>
      <c r="G288" s="2" t="s">
        <v>1087</v>
      </c>
      <c r="H288">
        <v>2909046376</v>
      </c>
      <c r="I288" t="s">
        <v>1088</v>
      </c>
    </row>
    <row r="289" spans="1:9" ht="72">
      <c r="A289" t="s">
        <v>3490</v>
      </c>
      <c r="B289" t="s">
        <v>803</v>
      </c>
      <c r="C289" s="1">
        <v>35406</v>
      </c>
      <c r="D289" t="s">
        <v>28</v>
      </c>
      <c r="E289">
        <v>2548374417</v>
      </c>
      <c r="F289" t="s">
        <v>1089</v>
      </c>
      <c r="G289" s="2" t="s">
        <v>1090</v>
      </c>
      <c r="H289">
        <v>9751910231</v>
      </c>
      <c r="I289" t="s">
        <v>1091</v>
      </c>
    </row>
    <row r="290" spans="1:9">
      <c r="A290" t="s">
        <v>3545</v>
      </c>
      <c r="B290" t="s">
        <v>504</v>
      </c>
      <c r="C290" s="1">
        <v>19800</v>
      </c>
      <c r="D290" t="s">
        <v>15</v>
      </c>
      <c r="E290">
        <v>5837379274</v>
      </c>
      <c r="F290" t="s">
        <v>1092</v>
      </c>
      <c r="G290" t="s">
        <v>1093</v>
      </c>
      <c r="H290">
        <v>4364538044</v>
      </c>
      <c r="I290" t="s">
        <v>1094</v>
      </c>
    </row>
    <row r="291" spans="1:9" ht="72">
      <c r="A291" t="s">
        <v>3464</v>
      </c>
      <c r="B291" t="s">
        <v>1095</v>
      </c>
      <c r="C291" s="1">
        <v>28517</v>
      </c>
      <c r="D291" t="s">
        <v>15</v>
      </c>
      <c r="E291">
        <v>917015959194</v>
      </c>
      <c r="F291" t="s">
        <v>1096</v>
      </c>
      <c r="G291" s="2" t="s">
        <v>1097</v>
      </c>
      <c r="H291">
        <v>6777226602</v>
      </c>
      <c r="I291" t="s">
        <v>1098</v>
      </c>
    </row>
    <row r="292" spans="1:9">
      <c r="A292" t="s">
        <v>3563</v>
      </c>
      <c r="B292" t="s">
        <v>1099</v>
      </c>
      <c r="C292" s="1">
        <v>32564</v>
      </c>
      <c r="D292" t="s">
        <v>15</v>
      </c>
      <c r="E292">
        <v>913106724530</v>
      </c>
      <c r="F292" t="s">
        <v>1100</v>
      </c>
      <c r="G292" t="s">
        <v>1101</v>
      </c>
      <c r="H292">
        <v>4238736704</v>
      </c>
      <c r="I292" t="s">
        <v>1102</v>
      </c>
    </row>
    <row r="293" spans="1:9" ht="57.6">
      <c r="A293" t="s">
        <v>3564</v>
      </c>
      <c r="B293" t="s">
        <v>1103</v>
      </c>
      <c r="C293" s="1">
        <v>26305</v>
      </c>
      <c r="D293" t="s">
        <v>15</v>
      </c>
      <c r="E293">
        <v>5259710756</v>
      </c>
      <c r="F293" t="s">
        <v>1104</v>
      </c>
      <c r="G293" s="2" t="s">
        <v>1105</v>
      </c>
      <c r="H293">
        <v>6295187794</v>
      </c>
      <c r="I293" t="s">
        <v>1106</v>
      </c>
    </row>
    <row r="294" spans="1:9" ht="57.6">
      <c r="A294" t="s">
        <v>3565</v>
      </c>
      <c r="B294" t="s">
        <v>148</v>
      </c>
      <c r="C294" s="1">
        <v>37158</v>
      </c>
      <c r="D294" t="s">
        <v>10</v>
      </c>
      <c r="E294">
        <v>917330559782</v>
      </c>
      <c r="F294" t="s">
        <v>1107</v>
      </c>
      <c r="G294" s="2" t="s">
        <v>1108</v>
      </c>
      <c r="H294">
        <v>4006157276</v>
      </c>
      <c r="I294" t="s">
        <v>1109</v>
      </c>
    </row>
    <row r="295" spans="1:9" ht="86.4">
      <c r="A295" t="s">
        <v>3471</v>
      </c>
      <c r="B295" t="s">
        <v>508</v>
      </c>
      <c r="C295" s="1">
        <v>35382</v>
      </c>
      <c r="D295" t="s">
        <v>28</v>
      </c>
      <c r="E295">
        <v>7429250105</v>
      </c>
      <c r="F295" t="s">
        <v>1110</v>
      </c>
      <c r="G295" s="2" t="s">
        <v>1111</v>
      </c>
      <c r="H295">
        <v>2218231555</v>
      </c>
      <c r="I295" t="s">
        <v>1112</v>
      </c>
    </row>
    <row r="296" spans="1:9" ht="57.6">
      <c r="A296" t="s">
        <v>3441</v>
      </c>
      <c r="B296" t="s">
        <v>576</v>
      </c>
      <c r="C296" s="1">
        <v>37455</v>
      </c>
      <c r="D296" t="s">
        <v>15</v>
      </c>
      <c r="E296">
        <v>2813721433</v>
      </c>
      <c r="F296" t="s">
        <v>1113</v>
      </c>
      <c r="G296" s="2" t="s">
        <v>1114</v>
      </c>
      <c r="H296">
        <v>3903397051</v>
      </c>
      <c r="I296" t="s">
        <v>1115</v>
      </c>
    </row>
    <row r="297" spans="1:9">
      <c r="A297" t="s">
        <v>3465</v>
      </c>
      <c r="B297" t="s">
        <v>1116</v>
      </c>
      <c r="C297" s="1">
        <v>33306</v>
      </c>
      <c r="D297" t="s">
        <v>28</v>
      </c>
      <c r="E297">
        <v>4858623945</v>
      </c>
      <c r="F297" t="s">
        <v>1117</v>
      </c>
      <c r="G297" t="s">
        <v>1118</v>
      </c>
      <c r="H297">
        <v>3943804032</v>
      </c>
      <c r="I297" t="s">
        <v>1119</v>
      </c>
    </row>
    <row r="298" spans="1:9" ht="100.8">
      <c r="A298" t="s">
        <v>3508</v>
      </c>
      <c r="B298" t="s">
        <v>1120</v>
      </c>
      <c r="C298" s="1">
        <v>30047</v>
      </c>
      <c r="D298" t="s">
        <v>15</v>
      </c>
      <c r="E298">
        <v>8943191009</v>
      </c>
      <c r="F298" t="s">
        <v>1121</v>
      </c>
      <c r="G298" s="2" t="s">
        <v>1122</v>
      </c>
      <c r="H298">
        <v>2473107201</v>
      </c>
      <c r="I298" t="s">
        <v>1123</v>
      </c>
    </row>
    <row r="299" spans="1:9" ht="72">
      <c r="A299" t="s">
        <v>3505</v>
      </c>
      <c r="B299" t="s">
        <v>376</v>
      </c>
      <c r="C299" s="1">
        <v>29750</v>
      </c>
      <c r="D299" t="s">
        <v>28</v>
      </c>
      <c r="E299">
        <v>912316600767</v>
      </c>
      <c r="F299" t="s">
        <v>1124</v>
      </c>
      <c r="G299" s="2" t="s">
        <v>1125</v>
      </c>
      <c r="H299">
        <v>3045195778</v>
      </c>
      <c r="I299" t="s">
        <v>1126</v>
      </c>
    </row>
    <row r="300" spans="1:9" ht="72">
      <c r="A300" t="s">
        <v>3419</v>
      </c>
      <c r="B300" t="s">
        <v>803</v>
      </c>
      <c r="C300" s="1">
        <v>22150</v>
      </c>
      <c r="D300" t="s">
        <v>28</v>
      </c>
      <c r="E300">
        <v>6575427865</v>
      </c>
      <c r="F300" t="s">
        <v>1127</v>
      </c>
      <c r="G300" s="2" t="s">
        <v>1128</v>
      </c>
      <c r="H300">
        <v>1618808190</v>
      </c>
      <c r="I300" t="s">
        <v>1129</v>
      </c>
    </row>
    <row r="301" spans="1:9" ht="57.6">
      <c r="A301" t="s">
        <v>3566</v>
      </c>
      <c r="B301" t="s">
        <v>108</v>
      </c>
      <c r="C301" s="1">
        <v>36017</v>
      </c>
      <c r="D301" t="s">
        <v>15</v>
      </c>
      <c r="E301">
        <v>8686395613</v>
      </c>
      <c r="F301" t="s">
        <v>1130</v>
      </c>
      <c r="G301" s="2" t="s">
        <v>1131</v>
      </c>
      <c r="H301">
        <v>4132114716</v>
      </c>
      <c r="I301" t="s">
        <v>1132</v>
      </c>
    </row>
    <row r="302" spans="1:9" ht="72">
      <c r="A302" t="s">
        <v>3458</v>
      </c>
      <c r="B302" t="s">
        <v>1133</v>
      </c>
      <c r="C302" s="1">
        <v>33218</v>
      </c>
      <c r="D302" t="s">
        <v>15</v>
      </c>
      <c r="E302">
        <v>7990707550</v>
      </c>
      <c r="F302" t="s">
        <v>1134</v>
      </c>
      <c r="G302" s="2" t="s">
        <v>1135</v>
      </c>
      <c r="H302">
        <v>7653970548</v>
      </c>
      <c r="I302" t="s">
        <v>1136</v>
      </c>
    </row>
    <row r="303" spans="1:9" ht="72">
      <c r="A303" t="s">
        <v>3436</v>
      </c>
      <c r="B303" t="s">
        <v>307</v>
      </c>
      <c r="C303" s="1">
        <v>18528</v>
      </c>
      <c r="D303" t="s">
        <v>28</v>
      </c>
      <c r="E303">
        <v>7182749680</v>
      </c>
      <c r="F303" t="s">
        <v>1137</v>
      </c>
      <c r="G303" s="2" t="s">
        <v>1138</v>
      </c>
      <c r="H303">
        <v>626042359</v>
      </c>
      <c r="I303" t="s">
        <v>1139</v>
      </c>
    </row>
    <row r="304" spans="1:9" ht="72">
      <c r="A304" t="s">
        <v>3567</v>
      </c>
      <c r="B304" t="s">
        <v>376</v>
      </c>
      <c r="C304" s="1">
        <v>18415</v>
      </c>
      <c r="D304" t="s">
        <v>10</v>
      </c>
      <c r="E304">
        <v>7560858167</v>
      </c>
      <c r="F304" t="s">
        <v>1140</v>
      </c>
      <c r="G304" s="2" t="s">
        <v>1141</v>
      </c>
      <c r="H304">
        <v>8471296180</v>
      </c>
      <c r="I304" t="s">
        <v>1142</v>
      </c>
    </row>
    <row r="305" spans="1:9" ht="86.4">
      <c r="A305" t="s">
        <v>3526</v>
      </c>
      <c r="B305" t="s">
        <v>884</v>
      </c>
      <c r="C305" s="1">
        <v>30507</v>
      </c>
      <c r="D305" t="s">
        <v>15</v>
      </c>
      <c r="E305">
        <v>911849804253</v>
      </c>
      <c r="F305" t="s">
        <v>1143</v>
      </c>
      <c r="G305" s="2" t="s">
        <v>1144</v>
      </c>
      <c r="H305">
        <v>9236534606</v>
      </c>
      <c r="I305" t="s">
        <v>1145</v>
      </c>
    </row>
    <row r="306" spans="1:9">
      <c r="A306" t="s">
        <v>3568</v>
      </c>
      <c r="B306" t="s">
        <v>60</v>
      </c>
      <c r="C306" s="1">
        <v>38615</v>
      </c>
      <c r="D306" t="s">
        <v>15</v>
      </c>
      <c r="E306">
        <v>912798623984</v>
      </c>
      <c r="F306" t="s">
        <v>1146</v>
      </c>
      <c r="G306" t="s">
        <v>1147</v>
      </c>
      <c r="H306">
        <v>8769899927</v>
      </c>
      <c r="I306" t="s">
        <v>1148</v>
      </c>
    </row>
    <row r="307" spans="1:9" ht="72">
      <c r="A307" t="s">
        <v>3510</v>
      </c>
      <c r="B307" t="s">
        <v>697</v>
      </c>
      <c r="C307" s="1">
        <v>24493</v>
      </c>
      <c r="D307" t="s">
        <v>10</v>
      </c>
      <c r="E307">
        <v>4983553935</v>
      </c>
      <c r="F307" t="s">
        <v>1149</v>
      </c>
      <c r="G307" s="2" t="s">
        <v>1150</v>
      </c>
      <c r="H307">
        <v>9821433952</v>
      </c>
      <c r="I307" t="s">
        <v>1151</v>
      </c>
    </row>
    <row r="308" spans="1:9" ht="72">
      <c r="A308" t="s">
        <v>3425</v>
      </c>
      <c r="B308" t="s">
        <v>1152</v>
      </c>
      <c r="C308" s="1">
        <v>21464</v>
      </c>
      <c r="D308" t="s">
        <v>10</v>
      </c>
      <c r="E308">
        <v>9141686013</v>
      </c>
      <c r="F308" t="s">
        <v>1153</v>
      </c>
      <c r="G308" s="2" t="s">
        <v>1154</v>
      </c>
      <c r="H308">
        <v>5001418842</v>
      </c>
      <c r="I308" t="s">
        <v>1155</v>
      </c>
    </row>
    <row r="309" spans="1:9">
      <c r="A309" t="s">
        <v>3536</v>
      </c>
      <c r="B309" t="s">
        <v>452</v>
      </c>
      <c r="C309" s="1">
        <v>35712</v>
      </c>
      <c r="D309" t="s">
        <v>15</v>
      </c>
      <c r="E309">
        <v>4633399948</v>
      </c>
      <c r="F309" t="s">
        <v>1156</v>
      </c>
      <c r="G309" t="s">
        <v>1157</v>
      </c>
      <c r="H309">
        <v>3792234103</v>
      </c>
      <c r="I309" t="s">
        <v>1158</v>
      </c>
    </row>
    <row r="310" spans="1:9" ht="57.6">
      <c r="A310" t="s">
        <v>3491</v>
      </c>
      <c r="B310" t="s">
        <v>410</v>
      </c>
      <c r="C310" s="1">
        <v>35534</v>
      </c>
      <c r="D310" t="s">
        <v>15</v>
      </c>
      <c r="E310">
        <v>7269608437</v>
      </c>
      <c r="F310" t="s">
        <v>1159</v>
      </c>
      <c r="G310" s="2" t="s">
        <v>1160</v>
      </c>
      <c r="H310">
        <v>3436970931</v>
      </c>
      <c r="I310" t="s">
        <v>1161</v>
      </c>
    </row>
    <row r="311" spans="1:9" ht="72">
      <c r="A311" t="s">
        <v>3569</v>
      </c>
      <c r="B311" t="s">
        <v>1162</v>
      </c>
      <c r="C311" s="1">
        <v>28895</v>
      </c>
      <c r="D311" t="s">
        <v>15</v>
      </c>
      <c r="E311">
        <v>1645345472</v>
      </c>
      <c r="F311" t="s">
        <v>1163</v>
      </c>
      <c r="G311" s="2" t="s">
        <v>1164</v>
      </c>
      <c r="H311">
        <v>4264236428</v>
      </c>
      <c r="I311" t="s">
        <v>1165</v>
      </c>
    </row>
    <row r="312" spans="1:9">
      <c r="A312" t="s">
        <v>3473</v>
      </c>
      <c r="B312" t="s">
        <v>276</v>
      </c>
      <c r="C312" s="1">
        <v>24991</v>
      </c>
      <c r="D312" t="s">
        <v>15</v>
      </c>
      <c r="E312">
        <v>7623039111</v>
      </c>
      <c r="F312" t="s">
        <v>1166</v>
      </c>
      <c r="G312" t="s">
        <v>1167</v>
      </c>
      <c r="H312">
        <v>722395947</v>
      </c>
      <c r="I312" t="s">
        <v>1168</v>
      </c>
    </row>
    <row r="313" spans="1:9" ht="86.4">
      <c r="A313" t="s">
        <v>3464</v>
      </c>
      <c r="B313" t="s">
        <v>1169</v>
      </c>
      <c r="C313" s="1">
        <v>19494</v>
      </c>
      <c r="D313" t="s">
        <v>28</v>
      </c>
      <c r="E313">
        <v>2047876886</v>
      </c>
      <c r="F313" t="s">
        <v>1170</v>
      </c>
      <c r="G313" s="2" t="s">
        <v>1171</v>
      </c>
      <c r="H313">
        <v>6645057303</v>
      </c>
      <c r="I313" t="s">
        <v>1172</v>
      </c>
    </row>
    <row r="314" spans="1:9" ht="86.4">
      <c r="A314" t="s">
        <v>3420</v>
      </c>
      <c r="B314" t="s">
        <v>36</v>
      </c>
      <c r="C314" s="1">
        <v>27678</v>
      </c>
      <c r="D314" t="s">
        <v>28</v>
      </c>
      <c r="E314">
        <v>912037476775</v>
      </c>
      <c r="F314" t="s">
        <v>1173</v>
      </c>
      <c r="G314" s="2" t="s">
        <v>1174</v>
      </c>
      <c r="H314">
        <v>4820128400</v>
      </c>
      <c r="I314" t="s">
        <v>1175</v>
      </c>
    </row>
    <row r="315" spans="1:9">
      <c r="A315" t="s">
        <v>3570</v>
      </c>
      <c r="B315" t="s">
        <v>402</v>
      </c>
      <c r="C315" s="1">
        <v>26449</v>
      </c>
      <c r="D315" t="s">
        <v>28</v>
      </c>
      <c r="E315">
        <v>5450891776</v>
      </c>
      <c r="F315" t="s">
        <v>1176</v>
      </c>
      <c r="G315" t="s">
        <v>1177</v>
      </c>
      <c r="H315">
        <v>9362689430</v>
      </c>
      <c r="I315" t="s">
        <v>1178</v>
      </c>
    </row>
    <row r="316" spans="1:9">
      <c r="A316" t="s">
        <v>3500</v>
      </c>
      <c r="B316" t="s">
        <v>1120</v>
      </c>
      <c r="C316" s="1">
        <v>34544</v>
      </c>
      <c r="D316" t="s">
        <v>15</v>
      </c>
      <c r="E316">
        <v>1175957498</v>
      </c>
      <c r="F316" t="s">
        <v>1179</v>
      </c>
      <c r="G316" t="s">
        <v>1180</v>
      </c>
      <c r="H316">
        <v>8333721885</v>
      </c>
      <c r="I316" t="s">
        <v>1181</v>
      </c>
    </row>
    <row r="317" spans="1:9" ht="72">
      <c r="A317" t="s">
        <v>3438</v>
      </c>
      <c r="B317" t="s">
        <v>1182</v>
      </c>
      <c r="C317" s="1">
        <v>34303</v>
      </c>
      <c r="D317" t="s">
        <v>28</v>
      </c>
      <c r="E317">
        <v>915066626705</v>
      </c>
      <c r="F317" t="s">
        <v>1183</v>
      </c>
      <c r="G317" s="2" t="s">
        <v>1184</v>
      </c>
      <c r="H317">
        <v>1102867120</v>
      </c>
      <c r="I317" t="s">
        <v>1185</v>
      </c>
    </row>
    <row r="318" spans="1:9" ht="86.4">
      <c r="A318" t="s">
        <v>3505</v>
      </c>
      <c r="B318" t="s">
        <v>1186</v>
      </c>
      <c r="C318" s="1">
        <v>34381</v>
      </c>
      <c r="D318" t="s">
        <v>15</v>
      </c>
      <c r="E318">
        <v>1024510910</v>
      </c>
      <c r="F318" t="s">
        <v>1187</v>
      </c>
      <c r="G318" s="2" t="s">
        <v>1188</v>
      </c>
      <c r="H318">
        <v>4065277584</v>
      </c>
      <c r="I318" t="s">
        <v>1189</v>
      </c>
    </row>
    <row r="319" spans="1:9" ht="72">
      <c r="A319" t="s">
        <v>3442</v>
      </c>
      <c r="B319" t="s">
        <v>1190</v>
      </c>
      <c r="C319" s="1">
        <v>21523</v>
      </c>
      <c r="D319" t="s">
        <v>15</v>
      </c>
      <c r="E319">
        <v>2010912172</v>
      </c>
      <c r="F319" t="s">
        <v>1191</v>
      </c>
      <c r="G319" s="2" t="s">
        <v>1192</v>
      </c>
      <c r="H319">
        <v>1004627765</v>
      </c>
      <c r="I319" t="s">
        <v>1193</v>
      </c>
    </row>
    <row r="320" spans="1:9" ht="86.4">
      <c r="A320" t="s">
        <v>3512</v>
      </c>
      <c r="B320" t="s">
        <v>1194</v>
      </c>
      <c r="C320" s="1">
        <v>37293</v>
      </c>
      <c r="D320" t="s">
        <v>28</v>
      </c>
      <c r="E320">
        <v>914617520238</v>
      </c>
      <c r="F320" t="s">
        <v>1195</v>
      </c>
      <c r="G320" s="2" t="s">
        <v>1196</v>
      </c>
      <c r="H320">
        <v>9993607984</v>
      </c>
      <c r="I320" t="s">
        <v>1197</v>
      </c>
    </row>
    <row r="321" spans="1:9" ht="72">
      <c r="A321" t="s">
        <v>3427</v>
      </c>
      <c r="B321" t="s">
        <v>1198</v>
      </c>
      <c r="C321" s="1">
        <v>29621</v>
      </c>
      <c r="D321" t="s">
        <v>15</v>
      </c>
      <c r="E321">
        <v>7993593744</v>
      </c>
      <c r="F321" t="s">
        <v>1199</v>
      </c>
      <c r="G321" s="2" t="s">
        <v>1200</v>
      </c>
      <c r="H321">
        <v>9079388413</v>
      </c>
      <c r="I321" t="s">
        <v>1201</v>
      </c>
    </row>
    <row r="322" spans="1:9">
      <c r="A322" t="s">
        <v>3437</v>
      </c>
      <c r="B322" t="s">
        <v>1202</v>
      </c>
      <c r="C322" s="1">
        <v>25998</v>
      </c>
      <c r="D322" t="s">
        <v>28</v>
      </c>
      <c r="E322">
        <v>3701242446</v>
      </c>
      <c r="F322" t="s">
        <v>1203</v>
      </c>
      <c r="G322" t="s">
        <v>1204</v>
      </c>
      <c r="H322">
        <v>8179415152</v>
      </c>
      <c r="I322" t="s">
        <v>1205</v>
      </c>
    </row>
    <row r="323" spans="1:9">
      <c r="A323" t="s">
        <v>3463</v>
      </c>
      <c r="B323" t="s">
        <v>1206</v>
      </c>
      <c r="C323" s="1">
        <v>19403</v>
      </c>
      <c r="D323" t="s">
        <v>28</v>
      </c>
      <c r="E323">
        <v>912528837505</v>
      </c>
      <c r="F323" t="s">
        <v>1207</v>
      </c>
      <c r="G323" t="s">
        <v>1208</v>
      </c>
      <c r="H323">
        <v>73095055</v>
      </c>
      <c r="I323" t="s">
        <v>1209</v>
      </c>
    </row>
    <row r="324" spans="1:9">
      <c r="A324" t="s">
        <v>3571</v>
      </c>
      <c r="B324" t="s">
        <v>1210</v>
      </c>
      <c r="C324" s="1">
        <v>20722</v>
      </c>
      <c r="D324" t="s">
        <v>28</v>
      </c>
      <c r="E324">
        <v>2778851905</v>
      </c>
      <c r="F324" t="s">
        <v>1211</v>
      </c>
      <c r="G324" t="s">
        <v>1212</v>
      </c>
      <c r="H324">
        <v>5212899151</v>
      </c>
      <c r="I324" t="s">
        <v>1213</v>
      </c>
    </row>
    <row r="325" spans="1:9" ht="86.4">
      <c r="A325" t="s">
        <v>3572</v>
      </c>
      <c r="B325" t="s">
        <v>1202</v>
      </c>
      <c r="C325" s="1">
        <v>23581</v>
      </c>
      <c r="D325" t="s">
        <v>28</v>
      </c>
      <c r="E325">
        <v>914488189848</v>
      </c>
      <c r="F325" t="s">
        <v>1214</v>
      </c>
      <c r="G325" s="2" t="s">
        <v>1215</v>
      </c>
      <c r="H325">
        <v>8142983152</v>
      </c>
      <c r="I325" t="s">
        <v>1216</v>
      </c>
    </row>
    <row r="326" spans="1:9" ht="57.6">
      <c r="A326" t="s">
        <v>3475</v>
      </c>
      <c r="B326" t="s">
        <v>1217</v>
      </c>
      <c r="C326" s="1">
        <v>38262</v>
      </c>
      <c r="D326" t="s">
        <v>28</v>
      </c>
      <c r="E326">
        <v>8360849378</v>
      </c>
      <c r="F326" t="s">
        <v>1218</v>
      </c>
      <c r="G326" s="2" t="s">
        <v>1219</v>
      </c>
      <c r="H326">
        <v>6934292913</v>
      </c>
      <c r="I326" t="s">
        <v>1220</v>
      </c>
    </row>
    <row r="327" spans="1:9" ht="72">
      <c r="A327" t="s">
        <v>3573</v>
      </c>
      <c r="B327" t="s">
        <v>1221</v>
      </c>
      <c r="C327" s="1">
        <v>23248</v>
      </c>
      <c r="D327" t="s">
        <v>10</v>
      </c>
      <c r="E327">
        <v>1903106153</v>
      </c>
      <c r="F327" t="s">
        <v>1222</v>
      </c>
      <c r="G327" s="2" t="s">
        <v>1223</v>
      </c>
      <c r="H327">
        <v>7746040672</v>
      </c>
      <c r="I327" t="s">
        <v>1224</v>
      </c>
    </row>
    <row r="328" spans="1:9" ht="72">
      <c r="A328" t="s">
        <v>3444</v>
      </c>
      <c r="B328" t="s">
        <v>617</v>
      </c>
      <c r="C328" s="1">
        <v>24769</v>
      </c>
      <c r="D328" t="s">
        <v>10</v>
      </c>
      <c r="E328">
        <v>916078197543</v>
      </c>
      <c r="F328" t="s">
        <v>1225</v>
      </c>
      <c r="G328" s="2" t="s">
        <v>1226</v>
      </c>
      <c r="H328">
        <v>1458414846</v>
      </c>
      <c r="I328" t="s">
        <v>1227</v>
      </c>
    </row>
    <row r="329" spans="1:9" ht="72">
      <c r="A329" t="s">
        <v>3464</v>
      </c>
      <c r="B329" t="s">
        <v>1228</v>
      </c>
      <c r="C329" s="1">
        <v>31645</v>
      </c>
      <c r="D329" t="s">
        <v>10</v>
      </c>
      <c r="E329">
        <v>9827802058</v>
      </c>
      <c r="F329" t="s">
        <v>1229</v>
      </c>
      <c r="G329" s="2" t="s">
        <v>1230</v>
      </c>
      <c r="H329">
        <v>5573857368</v>
      </c>
      <c r="I329" t="s">
        <v>1231</v>
      </c>
    </row>
    <row r="330" spans="1:9">
      <c r="A330" t="s">
        <v>3500</v>
      </c>
      <c r="B330" t="s">
        <v>1232</v>
      </c>
      <c r="C330" s="1">
        <v>31124</v>
      </c>
      <c r="D330" t="s">
        <v>10</v>
      </c>
      <c r="E330">
        <v>1187233351</v>
      </c>
      <c r="F330" t="s">
        <v>1233</v>
      </c>
      <c r="G330" t="s">
        <v>1234</v>
      </c>
      <c r="H330">
        <v>7365118939</v>
      </c>
      <c r="I330" t="s">
        <v>1235</v>
      </c>
    </row>
    <row r="331" spans="1:9" ht="86.4">
      <c r="A331" t="s">
        <v>3423</v>
      </c>
      <c r="B331" t="s">
        <v>1236</v>
      </c>
      <c r="C331" s="1">
        <v>36192</v>
      </c>
      <c r="D331" t="s">
        <v>10</v>
      </c>
      <c r="E331">
        <v>919043223023</v>
      </c>
      <c r="F331" t="s">
        <v>1237</v>
      </c>
      <c r="G331" s="2" t="s">
        <v>1238</v>
      </c>
      <c r="H331">
        <v>826112312</v>
      </c>
      <c r="I331" t="s">
        <v>1239</v>
      </c>
    </row>
    <row r="332" spans="1:9" ht="72">
      <c r="A332" t="s">
        <v>3434</v>
      </c>
      <c r="B332" t="s">
        <v>471</v>
      </c>
      <c r="C332" s="1">
        <v>34657</v>
      </c>
      <c r="D332" t="s">
        <v>28</v>
      </c>
      <c r="E332">
        <v>9957298937</v>
      </c>
      <c r="F332" t="s">
        <v>1240</v>
      </c>
      <c r="G332" s="2" t="s">
        <v>1241</v>
      </c>
      <c r="H332">
        <v>381876920</v>
      </c>
      <c r="I332" t="s">
        <v>1242</v>
      </c>
    </row>
    <row r="333" spans="1:9" ht="72">
      <c r="A333" t="s">
        <v>3470</v>
      </c>
      <c r="B333" t="s">
        <v>1243</v>
      </c>
      <c r="C333" s="1">
        <v>19670</v>
      </c>
      <c r="D333" t="s">
        <v>15</v>
      </c>
      <c r="E333">
        <v>918815881445</v>
      </c>
      <c r="F333" t="s">
        <v>1244</v>
      </c>
      <c r="G333" s="2" t="s">
        <v>1245</v>
      </c>
      <c r="H333">
        <v>1529113</v>
      </c>
      <c r="I333" t="s">
        <v>1246</v>
      </c>
    </row>
    <row r="334" spans="1:9" ht="72">
      <c r="A334" t="s">
        <v>3429</v>
      </c>
      <c r="B334" t="s">
        <v>609</v>
      </c>
      <c r="C334" s="1">
        <v>18469</v>
      </c>
      <c r="D334" t="s">
        <v>15</v>
      </c>
      <c r="E334">
        <v>2556184442</v>
      </c>
      <c r="F334" t="s">
        <v>1247</v>
      </c>
      <c r="G334" s="2" t="s">
        <v>1248</v>
      </c>
      <c r="H334">
        <v>43655158</v>
      </c>
      <c r="I334" t="s">
        <v>1249</v>
      </c>
    </row>
    <row r="335" spans="1:9" ht="86.4">
      <c r="A335" t="s">
        <v>3574</v>
      </c>
      <c r="B335" t="s">
        <v>1250</v>
      </c>
      <c r="C335" s="1">
        <v>24523</v>
      </c>
      <c r="D335" t="s">
        <v>28</v>
      </c>
      <c r="E335">
        <v>3550542960</v>
      </c>
      <c r="F335" t="s">
        <v>1251</v>
      </c>
      <c r="G335" s="2" t="s">
        <v>1252</v>
      </c>
      <c r="H335">
        <v>8044287738</v>
      </c>
      <c r="I335" t="s">
        <v>1253</v>
      </c>
    </row>
    <row r="336" spans="1:9">
      <c r="A336" t="s">
        <v>3451</v>
      </c>
      <c r="B336" t="s">
        <v>191</v>
      </c>
      <c r="C336" s="1">
        <v>19455</v>
      </c>
      <c r="D336" t="s">
        <v>15</v>
      </c>
      <c r="E336">
        <v>916942894642</v>
      </c>
      <c r="F336" t="s">
        <v>1254</v>
      </c>
      <c r="G336" t="s">
        <v>1255</v>
      </c>
      <c r="H336">
        <v>2635582430</v>
      </c>
      <c r="I336" t="s">
        <v>1256</v>
      </c>
    </row>
    <row r="337" spans="1:9" ht="86.4">
      <c r="A337" t="s">
        <v>3503</v>
      </c>
      <c r="B337" t="s">
        <v>689</v>
      </c>
      <c r="C337" s="1">
        <v>31009</v>
      </c>
      <c r="D337" t="s">
        <v>15</v>
      </c>
      <c r="E337">
        <v>315388824</v>
      </c>
      <c r="F337" t="s">
        <v>1257</v>
      </c>
      <c r="G337" s="2" t="s">
        <v>1258</v>
      </c>
      <c r="H337">
        <v>6321119787</v>
      </c>
      <c r="I337" t="s">
        <v>1259</v>
      </c>
    </row>
    <row r="338" spans="1:9">
      <c r="A338" t="s">
        <v>3575</v>
      </c>
      <c r="B338" t="s">
        <v>508</v>
      </c>
      <c r="C338" s="1">
        <v>30070</v>
      </c>
      <c r="D338" t="s">
        <v>10</v>
      </c>
      <c r="E338">
        <v>912653060119</v>
      </c>
      <c r="F338" t="s">
        <v>1260</v>
      </c>
      <c r="G338" t="s">
        <v>1261</v>
      </c>
      <c r="H338">
        <v>3657744916</v>
      </c>
      <c r="I338" t="s">
        <v>1262</v>
      </c>
    </row>
    <row r="339" spans="1:9" ht="72">
      <c r="A339" t="s">
        <v>3509</v>
      </c>
      <c r="B339" t="s">
        <v>872</v>
      </c>
      <c r="C339" s="1">
        <v>25562</v>
      </c>
      <c r="D339" t="s">
        <v>10</v>
      </c>
      <c r="E339">
        <v>1189418433</v>
      </c>
      <c r="F339" t="s">
        <v>1263</v>
      </c>
      <c r="G339" s="2" t="s">
        <v>1264</v>
      </c>
      <c r="H339">
        <v>1404288605</v>
      </c>
      <c r="I339" t="s">
        <v>1265</v>
      </c>
    </row>
    <row r="340" spans="1:9" ht="57.6">
      <c r="A340" t="s">
        <v>3544</v>
      </c>
      <c r="B340" t="s">
        <v>553</v>
      </c>
      <c r="C340" s="1">
        <v>35068</v>
      </c>
      <c r="D340" t="s">
        <v>10</v>
      </c>
      <c r="E340">
        <v>911260030835</v>
      </c>
      <c r="F340" t="s">
        <v>1266</v>
      </c>
      <c r="G340" s="2" t="s">
        <v>1267</v>
      </c>
      <c r="H340">
        <v>2691776829</v>
      </c>
      <c r="I340" t="s">
        <v>1268</v>
      </c>
    </row>
    <row r="341" spans="1:9" ht="86.4">
      <c r="A341" t="s">
        <v>3534</v>
      </c>
      <c r="B341" t="s">
        <v>1269</v>
      </c>
      <c r="C341" s="1">
        <v>37557</v>
      </c>
      <c r="D341" t="s">
        <v>15</v>
      </c>
      <c r="E341">
        <v>7354378826</v>
      </c>
      <c r="F341" t="s">
        <v>1270</v>
      </c>
      <c r="G341" s="2" t="s">
        <v>1271</v>
      </c>
      <c r="H341">
        <v>2699969964</v>
      </c>
      <c r="I341" t="s">
        <v>1272</v>
      </c>
    </row>
    <row r="342" spans="1:9" ht="72">
      <c r="A342" t="s">
        <v>3481</v>
      </c>
      <c r="B342" t="s">
        <v>164</v>
      </c>
      <c r="C342" s="1">
        <v>32225</v>
      </c>
      <c r="D342" t="s">
        <v>10</v>
      </c>
      <c r="E342">
        <v>9325914084</v>
      </c>
      <c r="F342" t="s">
        <v>1273</v>
      </c>
      <c r="G342" s="2" t="s">
        <v>1274</v>
      </c>
      <c r="H342">
        <v>7234838935</v>
      </c>
      <c r="I342" t="s">
        <v>1275</v>
      </c>
    </row>
    <row r="343" spans="1:9">
      <c r="A343" t="s">
        <v>3518</v>
      </c>
      <c r="B343" t="s">
        <v>1276</v>
      </c>
      <c r="C343" s="1">
        <v>17903</v>
      </c>
      <c r="D343" t="s">
        <v>28</v>
      </c>
      <c r="E343">
        <v>6129965082</v>
      </c>
      <c r="F343" t="s">
        <v>1277</v>
      </c>
      <c r="G343" t="s">
        <v>1278</v>
      </c>
      <c r="H343">
        <v>8595143468</v>
      </c>
      <c r="I343" t="s">
        <v>1279</v>
      </c>
    </row>
    <row r="344" spans="1:9" ht="86.4">
      <c r="A344" t="s">
        <v>3423</v>
      </c>
      <c r="B344" t="s">
        <v>1280</v>
      </c>
      <c r="C344" s="1">
        <v>36526</v>
      </c>
      <c r="D344" t="s">
        <v>15</v>
      </c>
      <c r="E344">
        <v>910086966101</v>
      </c>
      <c r="F344" t="s">
        <v>1281</v>
      </c>
      <c r="G344" s="2" t="s">
        <v>1282</v>
      </c>
      <c r="H344">
        <v>2839762053</v>
      </c>
      <c r="I344" t="s">
        <v>1283</v>
      </c>
    </row>
    <row r="345" spans="1:9" ht="100.8">
      <c r="A345" t="s">
        <v>3531</v>
      </c>
      <c r="B345" t="s">
        <v>32</v>
      </c>
      <c r="C345" s="1">
        <v>35581</v>
      </c>
      <c r="D345" t="s">
        <v>15</v>
      </c>
      <c r="E345">
        <v>2662925081</v>
      </c>
      <c r="F345" t="s">
        <v>1284</v>
      </c>
      <c r="G345" s="2" t="s">
        <v>1285</v>
      </c>
      <c r="H345">
        <v>2356178170</v>
      </c>
      <c r="I345" t="s">
        <v>1286</v>
      </c>
    </row>
    <row r="346" spans="1:9" ht="72">
      <c r="A346" t="s">
        <v>3498</v>
      </c>
      <c r="B346" t="s">
        <v>52</v>
      </c>
      <c r="C346" s="1">
        <v>28313</v>
      </c>
      <c r="D346" t="s">
        <v>10</v>
      </c>
      <c r="E346">
        <v>918527789561</v>
      </c>
      <c r="F346" t="s">
        <v>1287</v>
      </c>
      <c r="G346" s="2" t="s">
        <v>1288</v>
      </c>
      <c r="H346">
        <v>4167812778</v>
      </c>
      <c r="I346" t="s">
        <v>1289</v>
      </c>
    </row>
    <row r="347" spans="1:9" ht="72">
      <c r="A347" t="s">
        <v>3425</v>
      </c>
      <c r="B347" t="s">
        <v>1276</v>
      </c>
      <c r="C347" s="1">
        <v>22360</v>
      </c>
      <c r="D347" t="s">
        <v>28</v>
      </c>
      <c r="E347">
        <v>913486298579</v>
      </c>
      <c r="F347" t="s">
        <v>1290</v>
      </c>
      <c r="G347" s="2" t="s">
        <v>1291</v>
      </c>
      <c r="H347">
        <v>1770673682</v>
      </c>
      <c r="I347" t="s">
        <v>1292</v>
      </c>
    </row>
    <row r="348" spans="1:9" ht="72">
      <c r="A348" t="s">
        <v>3511</v>
      </c>
      <c r="B348" t="s">
        <v>352</v>
      </c>
      <c r="C348" s="1">
        <v>33465</v>
      </c>
      <c r="D348" t="s">
        <v>10</v>
      </c>
      <c r="E348">
        <v>5216505871</v>
      </c>
      <c r="F348" t="s">
        <v>1293</v>
      </c>
      <c r="G348" s="2" t="s">
        <v>1294</v>
      </c>
      <c r="H348">
        <v>9984802205</v>
      </c>
      <c r="I348" t="s">
        <v>1295</v>
      </c>
    </row>
    <row r="349" spans="1:9">
      <c r="A349" t="s">
        <v>3510</v>
      </c>
      <c r="B349" t="s">
        <v>460</v>
      </c>
      <c r="C349" s="1">
        <v>25081</v>
      </c>
      <c r="D349" t="s">
        <v>10</v>
      </c>
      <c r="E349">
        <v>2495988114</v>
      </c>
      <c r="F349" t="s">
        <v>1296</v>
      </c>
      <c r="G349" t="s">
        <v>1297</v>
      </c>
      <c r="H349">
        <v>4619177987</v>
      </c>
      <c r="I349" t="s">
        <v>1298</v>
      </c>
    </row>
    <row r="350" spans="1:9">
      <c r="A350" t="s">
        <v>3451</v>
      </c>
      <c r="B350" t="s">
        <v>1299</v>
      </c>
      <c r="C350" s="1">
        <v>38558</v>
      </c>
      <c r="D350" t="s">
        <v>15</v>
      </c>
      <c r="E350">
        <v>915893708580</v>
      </c>
      <c r="F350" t="s">
        <v>1300</v>
      </c>
      <c r="G350" t="s">
        <v>1301</v>
      </c>
      <c r="H350">
        <v>5544286796</v>
      </c>
      <c r="I350" t="s">
        <v>1302</v>
      </c>
    </row>
    <row r="351" spans="1:9" ht="72">
      <c r="A351" t="s">
        <v>3530</v>
      </c>
      <c r="B351" t="s">
        <v>1303</v>
      </c>
      <c r="C351" s="1">
        <v>31067</v>
      </c>
      <c r="D351" t="s">
        <v>15</v>
      </c>
      <c r="E351">
        <v>9463389156</v>
      </c>
      <c r="F351" t="s">
        <v>1304</v>
      </c>
      <c r="G351" s="2" t="s">
        <v>1305</v>
      </c>
      <c r="H351">
        <v>1865507846</v>
      </c>
      <c r="I351" t="s">
        <v>1306</v>
      </c>
    </row>
    <row r="352" spans="1:9">
      <c r="A352" t="s">
        <v>3488</v>
      </c>
      <c r="B352" t="s">
        <v>299</v>
      </c>
      <c r="C352" s="1">
        <v>24331</v>
      </c>
      <c r="D352" t="s">
        <v>10</v>
      </c>
      <c r="E352">
        <v>910349189117</v>
      </c>
      <c r="F352" t="s">
        <v>1307</v>
      </c>
      <c r="G352" t="s">
        <v>1308</v>
      </c>
      <c r="H352">
        <v>3132593678</v>
      </c>
      <c r="I352" t="s">
        <v>1309</v>
      </c>
    </row>
    <row r="353" spans="1:9">
      <c r="A353" t="s">
        <v>3574</v>
      </c>
      <c r="B353" t="s">
        <v>1310</v>
      </c>
      <c r="C353" s="1">
        <v>33816</v>
      </c>
      <c r="D353" t="s">
        <v>15</v>
      </c>
      <c r="E353">
        <v>914105276981</v>
      </c>
      <c r="F353" t="s">
        <v>1311</v>
      </c>
      <c r="G353" t="s">
        <v>1312</v>
      </c>
      <c r="H353">
        <v>5986787442</v>
      </c>
      <c r="I353" t="s">
        <v>1313</v>
      </c>
    </row>
    <row r="354" spans="1:9" ht="72">
      <c r="A354" t="s">
        <v>3576</v>
      </c>
      <c r="B354" t="s">
        <v>1314</v>
      </c>
      <c r="C354" s="1">
        <v>36043</v>
      </c>
      <c r="D354" t="s">
        <v>15</v>
      </c>
      <c r="E354">
        <v>6559428249</v>
      </c>
      <c r="F354" t="s">
        <v>1315</v>
      </c>
      <c r="G354" s="2" t="s">
        <v>1316</v>
      </c>
      <c r="H354">
        <v>557083682</v>
      </c>
      <c r="I354" t="s">
        <v>1317</v>
      </c>
    </row>
    <row r="355" spans="1:9" ht="72">
      <c r="A355" t="s">
        <v>3460</v>
      </c>
      <c r="B355" t="s">
        <v>1318</v>
      </c>
      <c r="C355" s="1">
        <v>35641</v>
      </c>
      <c r="D355" t="s">
        <v>15</v>
      </c>
      <c r="E355">
        <v>2736774620</v>
      </c>
      <c r="F355" t="s">
        <v>1319</v>
      </c>
      <c r="G355" s="2" t="s">
        <v>1320</v>
      </c>
      <c r="H355">
        <v>8364723875</v>
      </c>
      <c r="I355" t="s">
        <v>1321</v>
      </c>
    </row>
    <row r="356" spans="1:9" ht="57.6">
      <c r="A356" t="s">
        <v>3455</v>
      </c>
      <c r="B356" t="s">
        <v>276</v>
      </c>
      <c r="C356" s="1">
        <v>37386</v>
      </c>
      <c r="D356" t="s">
        <v>10</v>
      </c>
      <c r="E356">
        <v>915775458472</v>
      </c>
      <c r="F356" t="s">
        <v>1322</v>
      </c>
      <c r="G356" s="2" t="s">
        <v>1323</v>
      </c>
      <c r="H356">
        <v>3373992052</v>
      </c>
      <c r="I356" t="s">
        <v>1324</v>
      </c>
    </row>
    <row r="357" spans="1:9" ht="86.4">
      <c r="A357" t="s">
        <v>3454</v>
      </c>
      <c r="B357" t="s">
        <v>1325</v>
      </c>
      <c r="C357" s="1">
        <v>28442</v>
      </c>
      <c r="D357" t="s">
        <v>15</v>
      </c>
      <c r="E357">
        <v>9143882325</v>
      </c>
      <c r="F357" t="s">
        <v>1326</v>
      </c>
      <c r="G357" s="2" t="s">
        <v>1327</v>
      </c>
      <c r="H357">
        <v>5449791279</v>
      </c>
      <c r="I357" t="s">
        <v>1328</v>
      </c>
    </row>
    <row r="358" spans="1:9">
      <c r="A358" t="s">
        <v>3509</v>
      </c>
      <c r="B358" t="s">
        <v>1329</v>
      </c>
      <c r="C358" s="1">
        <v>23953</v>
      </c>
      <c r="D358" t="s">
        <v>10</v>
      </c>
      <c r="E358">
        <v>9787137529</v>
      </c>
      <c r="F358" t="s">
        <v>1330</v>
      </c>
      <c r="G358" t="s">
        <v>1331</v>
      </c>
      <c r="H358">
        <v>3585238600</v>
      </c>
      <c r="I358" t="s">
        <v>1332</v>
      </c>
    </row>
    <row r="359" spans="1:9" ht="72">
      <c r="A359" t="s">
        <v>3420</v>
      </c>
      <c r="B359" t="s">
        <v>120</v>
      </c>
      <c r="C359" s="1">
        <v>25798</v>
      </c>
      <c r="D359" t="s">
        <v>15</v>
      </c>
      <c r="E359">
        <v>917152391029</v>
      </c>
      <c r="F359" t="s">
        <v>1333</v>
      </c>
      <c r="G359" s="2" t="s">
        <v>1334</v>
      </c>
      <c r="H359">
        <v>2213217672</v>
      </c>
      <c r="I359" t="s">
        <v>1335</v>
      </c>
    </row>
    <row r="360" spans="1:9" ht="72">
      <c r="A360" t="s">
        <v>3440</v>
      </c>
      <c r="B360" t="s">
        <v>218</v>
      </c>
      <c r="C360" s="1">
        <v>18867</v>
      </c>
      <c r="D360" t="s">
        <v>28</v>
      </c>
      <c r="E360">
        <v>919072587339</v>
      </c>
      <c r="F360" t="s">
        <v>1336</v>
      </c>
      <c r="G360" s="2" t="s">
        <v>1337</v>
      </c>
      <c r="H360">
        <v>2509522946</v>
      </c>
      <c r="I360" t="s">
        <v>1338</v>
      </c>
    </row>
    <row r="361" spans="1:9" ht="72">
      <c r="A361" t="s">
        <v>3427</v>
      </c>
      <c r="B361" t="s">
        <v>341</v>
      </c>
      <c r="C361" s="1">
        <v>37971</v>
      </c>
      <c r="D361" t="s">
        <v>15</v>
      </c>
      <c r="E361">
        <v>399529701</v>
      </c>
      <c r="F361" t="s">
        <v>1339</v>
      </c>
      <c r="G361" s="2" t="s">
        <v>1340</v>
      </c>
      <c r="H361">
        <v>1592738740</v>
      </c>
      <c r="I361" t="s">
        <v>1341</v>
      </c>
    </row>
    <row r="362" spans="1:9" ht="86.4">
      <c r="A362" t="s">
        <v>3437</v>
      </c>
      <c r="B362" t="s">
        <v>1342</v>
      </c>
      <c r="C362" s="1">
        <v>32511</v>
      </c>
      <c r="D362" t="s">
        <v>10</v>
      </c>
      <c r="E362">
        <v>916322481554</v>
      </c>
      <c r="F362" t="s">
        <v>1343</v>
      </c>
      <c r="G362" s="2" t="s">
        <v>1344</v>
      </c>
      <c r="H362">
        <v>5546234712</v>
      </c>
      <c r="I362" t="s">
        <v>1345</v>
      </c>
    </row>
    <row r="363" spans="1:9" ht="86.4">
      <c r="A363" t="s">
        <v>3426</v>
      </c>
      <c r="B363" t="s">
        <v>1250</v>
      </c>
      <c r="C363" s="1">
        <v>37303</v>
      </c>
      <c r="D363" t="s">
        <v>15</v>
      </c>
      <c r="E363">
        <v>1030683176</v>
      </c>
      <c r="F363" t="s">
        <v>1346</v>
      </c>
      <c r="G363" s="2" t="s">
        <v>1347</v>
      </c>
      <c r="H363">
        <v>6713073510</v>
      </c>
      <c r="I363" t="s">
        <v>1348</v>
      </c>
    </row>
    <row r="364" spans="1:9" ht="100.8">
      <c r="A364" t="s">
        <v>3563</v>
      </c>
      <c r="B364" t="s">
        <v>1349</v>
      </c>
      <c r="C364" s="1">
        <v>35326</v>
      </c>
      <c r="D364" t="s">
        <v>10</v>
      </c>
      <c r="E364">
        <v>910096258857</v>
      </c>
      <c r="F364" t="s">
        <v>1350</v>
      </c>
      <c r="G364" s="2" t="s">
        <v>1351</v>
      </c>
      <c r="H364">
        <v>2159183270</v>
      </c>
      <c r="I364" t="s">
        <v>1352</v>
      </c>
    </row>
    <row r="365" spans="1:9" ht="86.4">
      <c r="A365" t="s">
        <v>3465</v>
      </c>
      <c r="B365" t="s">
        <v>1353</v>
      </c>
      <c r="C365" s="1">
        <v>18446</v>
      </c>
      <c r="D365" t="s">
        <v>10</v>
      </c>
      <c r="E365">
        <v>911079771400</v>
      </c>
      <c r="F365" t="s">
        <v>1354</v>
      </c>
      <c r="G365" s="2" t="s">
        <v>1355</v>
      </c>
      <c r="H365">
        <v>9769873137</v>
      </c>
      <c r="I365" t="s">
        <v>1356</v>
      </c>
    </row>
    <row r="366" spans="1:9">
      <c r="A366" t="s">
        <v>3477</v>
      </c>
      <c r="B366" t="s">
        <v>1357</v>
      </c>
      <c r="C366" s="1">
        <v>27321</v>
      </c>
      <c r="D366" t="s">
        <v>15</v>
      </c>
      <c r="E366">
        <v>912374077943</v>
      </c>
      <c r="F366" t="s">
        <v>1358</v>
      </c>
      <c r="G366" t="s">
        <v>1359</v>
      </c>
      <c r="H366">
        <v>2116020418</v>
      </c>
      <c r="I366" t="s">
        <v>1360</v>
      </c>
    </row>
    <row r="367" spans="1:9" ht="72">
      <c r="A367" t="s">
        <v>3457</v>
      </c>
      <c r="B367" t="s">
        <v>1361</v>
      </c>
      <c r="C367" s="1">
        <v>21470</v>
      </c>
      <c r="D367" t="s">
        <v>10</v>
      </c>
      <c r="E367">
        <v>911708894801</v>
      </c>
      <c r="F367" t="s">
        <v>1362</v>
      </c>
      <c r="G367" s="2" t="s">
        <v>1363</v>
      </c>
      <c r="H367">
        <v>4806757123</v>
      </c>
      <c r="I367" t="s">
        <v>1364</v>
      </c>
    </row>
    <row r="368" spans="1:9">
      <c r="A368" t="s">
        <v>3422</v>
      </c>
      <c r="B368" t="s">
        <v>747</v>
      </c>
      <c r="C368" s="1">
        <v>21749</v>
      </c>
      <c r="D368" t="s">
        <v>15</v>
      </c>
      <c r="E368">
        <v>7942968827</v>
      </c>
      <c r="F368" t="s">
        <v>1365</v>
      </c>
      <c r="G368" t="s">
        <v>1366</v>
      </c>
      <c r="H368">
        <v>7488356517</v>
      </c>
      <c r="I368" t="s">
        <v>1367</v>
      </c>
    </row>
    <row r="369" spans="1:9" ht="86.4">
      <c r="A369" t="s">
        <v>3412</v>
      </c>
      <c r="B369" t="s">
        <v>1103</v>
      </c>
      <c r="C369" s="1">
        <v>38583</v>
      </c>
      <c r="D369" t="s">
        <v>28</v>
      </c>
      <c r="E369">
        <v>6683496047</v>
      </c>
      <c r="F369" t="s">
        <v>1368</v>
      </c>
      <c r="G369" s="2" t="s">
        <v>1369</v>
      </c>
      <c r="H369">
        <v>3486883906</v>
      </c>
      <c r="I369" t="s">
        <v>1370</v>
      </c>
    </row>
    <row r="370" spans="1:9">
      <c r="A370" t="s">
        <v>3503</v>
      </c>
      <c r="B370" t="s">
        <v>1371</v>
      </c>
      <c r="C370" s="1">
        <v>28388</v>
      </c>
      <c r="D370" t="s">
        <v>10</v>
      </c>
      <c r="E370">
        <v>919114131935</v>
      </c>
      <c r="F370" t="s">
        <v>1372</v>
      </c>
      <c r="G370" t="s">
        <v>1373</v>
      </c>
      <c r="H370">
        <v>4724191650</v>
      </c>
      <c r="I370" t="s">
        <v>1374</v>
      </c>
    </row>
    <row r="371" spans="1:9" ht="72">
      <c r="A371" t="s">
        <v>3520</v>
      </c>
      <c r="B371" t="s">
        <v>1375</v>
      </c>
      <c r="C371" s="1">
        <v>36228</v>
      </c>
      <c r="D371" t="s">
        <v>10</v>
      </c>
      <c r="E371">
        <v>1824989808</v>
      </c>
      <c r="F371" t="s">
        <v>1376</v>
      </c>
      <c r="G371" s="2" t="s">
        <v>1377</v>
      </c>
      <c r="H371">
        <v>9396987486</v>
      </c>
      <c r="I371" t="s">
        <v>1378</v>
      </c>
    </row>
    <row r="372" spans="1:9">
      <c r="A372" t="s">
        <v>3416</v>
      </c>
      <c r="B372" t="s">
        <v>1379</v>
      </c>
      <c r="C372" s="1">
        <v>20577</v>
      </c>
      <c r="D372" t="s">
        <v>10</v>
      </c>
      <c r="E372">
        <v>919292075360</v>
      </c>
      <c r="F372" t="s">
        <v>1380</v>
      </c>
      <c r="G372" t="s">
        <v>1381</v>
      </c>
      <c r="H372">
        <v>5590670009</v>
      </c>
      <c r="I372" t="s">
        <v>1382</v>
      </c>
    </row>
    <row r="373" spans="1:9" ht="86.4">
      <c r="A373" t="s">
        <v>3577</v>
      </c>
      <c r="B373" t="s">
        <v>1383</v>
      </c>
      <c r="C373" s="1">
        <v>27148</v>
      </c>
      <c r="D373" t="s">
        <v>10</v>
      </c>
      <c r="E373">
        <v>4896676056</v>
      </c>
      <c r="F373" t="s">
        <v>1384</v>
      </c>
      <c r="G373" s="2" t="s">
        <v>1385</v>
      </c>
      <c r="H373">
        <v>623546622</v>
      </c>
      <c r="I373" t="s">
        <v>1386</v>
      </c>
    </row>
    <row r="374" spans="1:9" ht="86.4">
      <c r="A374" t="s">
        <v>3470</v>
      </c>
      <c r="B374" t="s">
        <v>1387</v>
      </c>
      <c r="C374" s="1">
        <v>23516</v>
      </c>
      <c r="D374" t="s">
        <v>28</v>
      </c>
      <c r="E374">
        <v>910622122427</v>
      </c>
      <c r="F374" t="s">
        <v>1388</v>
      </c>
      <c r="G374" s="2" t="s">
        <v>1389</v>
      </c>
      <c r="H374">
        <v>8860080179</v>
      </c>
      <c r="I374" t="s">
        <v>1390</v>
      </c>
    </row>
    <row r="375" spans="1:9">
      <c r="A375" t="s">
        <v>3503</v>
      </c>
      <c r="B375" t="s">
        <v>489</v>
      </c>
      <c r="C375" s="1">
        <v>26734</v>
      </c>
      <c r="D375" t="s">
        <v>28</v>
      </c>
      <c r="E375">
        <v>472642612</v>
      </c>
      <c r="F375" t="s">
        <v>1391</v>
      </c>
      <c r="G375" t="s">
        <v>1392</v>
      </c>
      <c r="H375">
        <v>2183854540</v>
      </c>
      <c r="I375" t="s">
        <v>1393</v>
      </c>
    </row>
    <row r="376" spans="1:9">
      <c r="A376" t="s">
        <v>3536</v>
      </c>
      <c r="B376" t="s">
        <v>601</v>
      </c>
      <c r="C376" s="1">
        <v>21446</v>
      </c>
      <c r="D376" t="s">
        <v>15</v>
      </c>
      <c r="E376">
        <v>911123274897</v>
      </c>
      <c r="F376" t="s">
        <v>1394</v>
      </c>
      <c r="G376" t="s">
        <v>1395</v>
      </c>
      <c r="H376">
        <v>9630453069</v>
      </c>
      <c r="I376" t="s">
        <v>1396</v>
      </c>
    </row>
    <row r="377" spans="1:9" ht="72">
      <c r="A377" t="s">
        <v>3501</v>
      </c>
      <c r="B377" t="s">
        <v>1397</v>
      </c>
      <c r="C377" s="1">
        <v>25422</v>
      </c>
      <c r="D377" t="s">
        <v>10</v>
      </c>
      <c r="E377">
        <v>910181677848</v>
      </c>
      <c r="F377" t="s">
        <v>1398</v>
      </c>
      <c r="G377" s="2" t="s">
        <v>1399</v>
      </c>
      <c r="H377">
        <v>539128788</v>
      </c>
      <c r="I377" t="s">
        <v>1400</v>
      </c>
    </row>
    <row r="378" spans="1:9" ht="72">
      <c r="A378" t="s">
        <v>3524</v>
      </c>
      <c r="B378" t="s">
        <v>493</v>
      </c>
      <c r="C378" s="1">
        <v>21679</v>
      </c>
      <c r="D378" t="s">
        <v>10</v>
      </c>
      <c r="E378">
        <v>9045792714</v>
      </c>
      <c r="F378" t="s">
        <v>1401</v>
      </c>
      <c r="G378" s="2" t="s">
        <v>1402</v>
      </c>
      <c r="H378">
        <v>9121870629</v>
      </c>
      <c r="I378" t="s">
        <v>1403</v>
      </c>
    </row>
    <row r="379" spans="1:9" ht="86.4">
      <c r="A379" t="s">
        <v>3423</v>
      </c>
      <c r="B379" t="s">
        <v>448</v>
      </c>
      <c r="C379" s="1">
        <v>20837</v>
      </c>
      <c r="D379" t="s">
        <v>28</v>
      </c>
      <c r="E379">
        <v>911023200186</v>
      </c>
      <c r="F379" t="s">
        <v>1404</v>
      </c>
      <c r="G379" s="2" t="s">
        <v>1405</v>
      </c>
      <c r="H379">
        <v>3198074682</v>
      </c>
      <c r="I379" t="s">
        <v>1406</v>
      </c>
    </row>
    <row r="380" spans="1:9" ht="86.4">
      <c r="A380" t="s">
        <v>3535</v>
      </c>
      <c r="B380" t="s">
        <v>1407</v>
      </c>
      <c r="C380" s="1">
        <v>22762</v>
      </c>
      <c r="D380" t="s">
        <v>15</v>
      </c>
      <c r="E380">
        <v>762054596</v>
      </c>
      <c r="F380" t="s">
        <v>1408</v>
      </c>
      <c r="G380" s="2" t="s">
        <v>1409</v>
      </c>
      <c r="H380">
        <v>785169949</v>
      </c>
      <c r="I380" t="s">
        <v>1410</v>
      </c>
    </row>
    <row r="381" spans="1:9">
      <c r="A381" t="s">
        <v>3496</v>
      </c>
      <c r="B381" t="s">
        <v>27</v>
      </c>
      <c r="C381" s="1">
        <v>28258</v>
      </c>
      <c r="D381" t="s">
        <v>28</v>
      </c>
      <c r="E381">
        <v>3482689996</v>
      </c>
      <c r="F381" t="s">
        <v>1411</v>
      </c>
      <c r="G381" t="s">
        <v>1412</v>
      </c>
      <c r="H381">
        <v>9760932012</v>
      </c>
      <c r="I381" t="s">
        <v>1413</v>
      </c>
    </row>
    <row r="382" spans="1:9" ht="57.6">
      <c r="A382" t="s">
        <v>3458</v>
      </c>
      <c r="B382" t="s">
        <v>1202</v>
      </c>
      <c r="C382" s="1">
        <v>31579</v>
      </c>
      <c r="D382" t="s">
        <v>28</v>
      </c>
      <c r="E382">
        <v>919521755851</v>
      </c>
      <c r="F382" t="s">
        <v>1414</v>
      </c>
      <c r="G382" s="2" t="s">
        <v>1415</v>
      </c>
      <c r="H382">
        <v>6422297589</v>
      </c>
      <c r="I382" t="s">
        <v>1416</v>
      </c>
    </row>
    <row r="383" spans="1:9" ht="86.4">
      <c r="A383" t="s">
        <v>3477</v>
      </c>
      <c r="B383" t="s">
        <v>418</v>
      </c>
      <c r="C383" s="1">
        <v>31585</v>
      </c>
      <c r="D383" t="s">
        <v>15</v>
      </c>
      <c r="E383">
        <v>4570568209</v>
      </c>
      <c r="F383" t="s">
        <v>1417</v>
      </c>
      <c r="G383" s="2" t="s">
        <v>1418</v>
      </c>
      <c r="H383">
        <v>9540017882</v>
      </c>
      <c r="I383" t="s">
        <v>1419</v>
      </c>
    </row>
    <row r="384" spans="1:9" ht="72">
      <c r="A384" t="s">
        <v>3445</v>
      </c>
      <c r="B384" t="s">
        <v>1420</v>
      </c>
      <c r="C384" s="1">
        <v>37025</v>
      </c>
      <c r="D384" t="s">
        <v>10</v>
      </c>
      <c r="E384">
        <v>710580119</v>
      </c>
      <c r="F384" t="s">
        <v>1421</v>
      </c>
      <c r="G384" s="2" t="s">
        <v>1422</v>
      </c>
      <c r="H384">
        <v>716950074</v>
      </c>
      <c r="I384" t="s">
        <v>1423</v>
      </c>
    </row>
    <row r="385" spans="1:9" ht="72">
      <c r="A385" t="s">
        <v>3501</v>
      </c>
      <c r="B385" t="s">
        <v>1424</v>
      </c>
      <c r="C385" s="1">
        <v>33879</v>
      </c>
      <c r="D385" t="s">
        <v>10</v>
      </c>
      <c r="E385">
        <v>919876989365</v>
      </c>
      <c r="F385" t="s">
        <v>1425</v>
      </c>
      <c r="G385" s="2" t="s">
        <v>1426</v>
      </c>
      <c r="H385">
        <v>6321743574</v>
      </c>
      <c r="I385" t="s">
        <v>1427</v>
      </c>
    </row>
    <row r="386" spans="1:9">
      <c r="A386" t="s">
        <v>3459</v>
      </c>
      <c r="B386" t="s">
        <v>1428</v>
      </c>
      <c r="C386" s="1">
        <v>18794</v>
      </c>
      <c r="D386" t="s">
        <v>28</v>
      </c>
      <c r="E386">
        <v>6739834488</v>
      </c>
      <c r="F386" t="s">
        <v>1429</v>
      </c>
      <c r="G386" t="s">
        <v>1430</v>
      </c>
      <c r="H386">
        <v>1562392090</v>
      </c>
      <c r="I386" t="s">
        <v>1431</v>
      </c>
    </row>
    <row r="387" spans="1:9" ht="72">
      <c r="A387" t="s">
        <v>3415</v>
      </c>
      <c r="B387" t="s">
        <v>1432</v>
      </c>
      <c r="C387" s="1">
        <v>34382</v>
      </c>
      <c r="D387" t="s">
        <v>28</v>
      </c>
      <c r="E387">
        <v>1311178619</v>
      </c>
      <c r="F387" t="s">
        <v>1433</v>
      </c>
      <c r="G387" s="2" t="s">
        <v>1434</v>
      </c>
      <c r="H387">
        <v>5950026015</v>
      </c>
      <c r="I387" t="s">
        <v>1435</v>
      </c>
    </row>
    <row r="388" spans="1:9">
      <c r="A388" t="s">
        <v>3460</v>
      </c>
      <c r="B388" t="s">
        <v>303</v>
      </c>
      <c r="C388" s="1">
        <v>28767</v>
      </c>
      <c r="D388" t="s">
        <v>28</v>
      </c>
      <c r="E388">
        <v>9507407173</v>
      </c>
      <c r="F388" t="s">
        <v>1436</v>
      </c>
      <c r="G388" t="s">
        <v>1437</v>
      </c>
      <c r="H388">
        <v>2036089411</v>
      </c>
      <c r="I388" t="s">
        <v>1438</v>
      </c>
    </row>
    <row r="389" spans="1:9">
      <c r="A389" t="s">
        <v>3563</v>
      </c>
      <c r="B389" t="s">
        <v>172</v>
      </c>
      <c r="C389" s="1">
        <v>26754</v>
      </c>
      <c r="D389" t="s">
        <v>15</v>
      </c>
      <c r="E389">
        <v>3595205610</v>
      </c>
      <c r="F389" t="s">
        <v>1439</v>
      </c>
      <c r="G389" t="s">
        <v>1440</v>
      </c>
      <c r="H389">
        <v>4495300677</v>
      </c>
      <c r="I389" t="s">
        <v>1441</v>
      </c>
    </row>
    <row r="390" spans="1:9" ht="72">
      <c r="A390" t="s">
        <v>3431</v>
      </c>
      <c r="B390" t="s">
        <v>659</v>
      </c>
      <c r="C390" s="1">
        <v>30086</v>
      </c>
      <c r="D390" t="s">
        <v>15</v>
      </c>
      <c r="E390">
        <v>916542624178</v>
      </c>
      <c r="F390" t="s">
        <v>1442</v>
      </c>
      <c r="G390" s="2" t="s">
        <v>1443</v>
      </c>
      <c r="H390">
        <v>8684302116</v>
      </c>
      <c r="I390" t="s">
        <v>1444</v>
      </c>
    </row>
    <row r="391" spans="1:9" ht="57.6">
      <c r="A391" t="s">
        <v>3455</v>
      </c>
      <c r="B391" t="s">
        <v>1445</v>
      </c>
      <c r="C391" s="1">
        <v>36573</v>
      </c>
      <c r="D391" t="s">
        <v>28</v>
      </c>
      <c r="E391">
        <v>8875921299</v>
      </c>
      <c r="F391" t="s">
        <v>1446</v>
      </c>
      <c r="G391" s="2" t="s">
        <v>1447</v>
      </c>
      <c r="H391">
        <v>7115238023</v>
      </c>
      <c r="I391" t="s">
        <v>1448</v>
      </c>
    </row>
    <row r="392" spans="1:9" ht="57.6">
      <c r="A392" t="s">
        <v>3578</v>
      </c>
      <c r="B392" t="s">
        <v>1449</v>
      </c>
      <c r="C392" s="1">
        <v>20921</v>
      </c>
      <c r="D392" t="s">
        <v>10</v>
      </c>
      <c r="E392">
        <v>9705916118</v>
      </c>
      <c r="F392" t="s">
        <v>1450</v>
      </c>
      <c r="G392" s="2" t="s">
        <v>1451</v>
      </c>
      <c r="H392">
        <v>8692897284</v>
      </c>
      <c r="I392" t="s">
        <v>1452</v>
      </c>
    </row>
    <row r="393" spans="1:9" ht="72">
      <c r="A393" t="s">
        <v>3521</v>
      </c>
      <c r="B393" t="s">
        <v>1453</v>
      </c>
      <c r="C393" s="1">
        <v>17857</v>
      </c>
      <c r="D393" t="s">
        <v>10</v>
      </c>
      <c r="E393">
        <v>912839482322</v>
      </c>
      <c r="F393" t="s">
        <v>1454</v>
      </c>
      <c r="G393" s="2" t="s">
        <v>1455</v>
      </c>
      <c r="H393">
        <v>2322775213</v>
      </c>
      <c r="I393" t="s">
        <v>1456</v>
      </c>
    </row>
    <row r="394" spans="1:9" ht="72">
      <c r="A394" t="s">
        <v>3579</v>
      </c>
      <c r="B394" t="s">
        <v>1457</v>
      </c>
      <c r="C394" s="1">
        <v>27666</v>
      </c>
      <c r="D394" t="s">
        <v>15</v>
      </c>
      <c r="E394">
        <v>910059377756</v>
      </c>
      <c r="F394" t="s">
        <v>1458</v>
      </c>
      <c r="G394" s="2" t="s">
        <v>1459</v>
      </c>
      <c r="H394">
        <v>1966229131</v>
      </c>
      <c r="I394" t="s">
        <v>1460</v>
      </c>
    </row>
    <row r="395" spans="1:9" ht="86.4">
      <c r="A395" t="s">
        <v>3441</v>
      </c>
      <c r="B395" t="s">
        <v>1461</v>
      </c>
      <c r="C395" s="1">
        <v>27601</v>
      </c>
      <c r="D395" t="s">
        <v>15</v>
      </c>
      <c r="E395">
        <v>636219865</v>
      </c>
      <c r="F395" t="s">
        <v>1462</v>
      </c>
      <c r="G395" s="2" t="s">
        <v>1463</v>
      </c>
      <c r="H395">
        <v>7322626114</v>
      </c>
      <c r="I395" t="s">
        <v>1464</v>
      </c>
    </row>
    <row r="396" spans="1:9">
      <c r="A396" t="s">
        <v>3487</v>
      </c>
      <c r="B396" t="s">
        <v>1310</v>
      </c>
      <c r="C396" s="1">
        <v>25794</v>
      </c>
      <c r="D396" t="s">
        <v>10</v>
      </c>
      <c r="E396">
        <v>2188087991</v>
      </c>
      <c r="F396" t="s">
        <v>1465</v>
      </c>
      <c r="G396" t="s">
        <v>1466</v>
      </c>
      <c r="H396">
        <v>8333430311</v>
      </c>
      <c r="I396" t="s">
        <v>1467</v>
      </c>
    </row>
    <row r="397" spans="1:9" ht="72">
      <c r="A397" t="s">
        <v>3500</v>
      </c>
      <c r="B397" t="s">
        <v>673</v>
      </c>
      <c r="C397" s="1">
        <v>35915</v>
      </c>
      <c r="D397" t="s">
        <v>15</v>
      </c>
      <c r="E397">
        <v>9475769453</v>
      </c>
      <c r="F397" t="s">
        <v>1468</v>
      </c>
      <c r="G397" s="2" t="s">
        <v>1469</v>
      </c>
      <c r="H397">
        <v>5080959481</v>
      </c>
      <c r="I397" t="s">
        <v>1470</v>
      </c>
    </row>
    <row r="398" spans="1:9" ht="57.6">
      <c r="A398" t="s">
        <v>3533</v>
      </c>
      <c r="B398" t="s">
        <v>1471</v>
      </c>
      <c r="C398" s="1">
        <v>25335</v>
      </c>
      <c r="D398" t="s">
        <v>10</v>
      </c>
      <c r="E398">
        <v>2130742359</v>
      </c>
      <c r="F398" t="s">
        <v>1472</v>
      </c>
      <c r="G398" s="2" t="s">
        <v>1473</v>
      </c>
      <c r="H398">
        <v>1008178522</v>
      </c>
      <c r="I398" t="s">
        <v>1474</v>
      </c>
    </row>
    <row r="399" spans="1:9" ht="86.4">
      <c r="A399" t="s">
        <v>3482</v>
      </c>
      <c r="B399" t="s">
        <v>384</v>
      </c>
      <c r="C399" s="1">
        <v>26843</v>
      </c>
      <c r="D399" t="s">
        <v>28</v>
      </c>
      <c r="E399">
        <v>4268744701</v>
      </c>
      <c r="F399" t="s">
        <v>1475</v>
      </c>
      <c r="G399" s="2" t="s">
        <v>1476</v>
      </c>
      <c r="H399">
        <v>140052781</v>
      </c>
      <c r="I399" t="s">
        <v>1477</v>
      </c>
    </row>
    <row r="400" spans="1:9" ht="57.6">
      <c r="A400" t="s">
        <v>3580</v>
      </c>
      <c r="B400" t="s">
        <v>1478</v>
      </c>
      <c r="C400" s="1">
        <v>34788</v>
      </c>
      <c r="D400" t="s">
        <v>15</v>
      </c>
      <c r="E400">
        <v>912142573160</v>
      </c>
      <c r="F400" t="s">
        <v>1479</v>
      </c>
      <c r="G400" s="2" t="s">
        <v>1480</v>
      </c>
      <c r="H400">
        <v>9297352595</v>
      </c>
      <c r="I400" t="s">
        <v>1481</v>
      </c>
    </row>
    <row r="401" spans="1:9" ht="72">
      <c r="A401" t="s">
        <v>3501</v>
      </c>
      <c r="B401" t="s">
        <v>398</v>
      </c>
      <c r="C401" s="1">
        <v>33136</v>
      </c>
      <c r="D401" t="s">
        <v>28</v>
      </c>
      <c r="E401">
        <v>918992045735</v>
      </c>
      <c r="F401" t="s">
        <v>1482</v>
      </c>
      <c r="G401" s="2" t="s">
        <v>1483</v>
      </c>
      <c r="H401">
        <v>3601071261</v>
      </c>
      <c r="I401" t="s">
        <v>1484</v>
      </c>
    </row>
    <row r="402" spans="1:9" ht="72">
      <c r="A402" t="s">
        <v>3527</v>
      </c>
      <c r="B402" t="s">
        <v>206</v>
      </c>
      <c r="C402" s="1">
        <v>30080</v>
      </c>
      <c r="D402" t="s">
        <v>15</v>
      </c>
      <c r="E402">
        <v>6484673574</v>
      </c>
      <c r="F402" t="s">
        <v>1485</v>
      </c>
      <c r="G402" s="2" t="s">
        <v>1486</v>
      </c>
      <c r="H402">
        <v>5350637311</v>
      </c>
      <c r="I402" t="s">
        <v>1487</v>
      </c>
    </row>
    <row r="403" spans="1:9">
      <c r="A403" t="s">
        <v>3432</v>
      </c>
      <c r="B403" t="s">
        <v>1194</v>
      </c>
      <c r="C403" s="1">
        <v>29895</v>
      </c>
      <c r="D403" t="s">
        <v>15</v>
      </c>
      <c r="E403">
        <v>5384185201</v>
      </c>
      <c r="F403" t="s">
        <v>1488</v>
      </c>
      <c r="G403" t="s">
        <v>1489</v>
      </c>
      <c r="H403">
        <v>1516411955</v>
      </c>
      <c r="I403" t="s">
        <v>1490</v>
      </c>
    </row>
    <row r="404" spans="1:9" ht="72">
      <c r="A404" t="s">
        <v>3558</v>
      </c>
      <c r="B404" t="s">
        <v>954</v>
      </c>
      <c r="C404" s="1">
        <v>32514</v>
      </c>
      <c r="D404" t="s">
        <v>28</v>
      </c>
      <c r="E404">
        <v>7875207020</v>
      </c>
      <c r="F404" t="s">
        <v>1491</v>
      </c>
      <c r="G404" s="2" t="s">
        <v>1492</v>
      </c>
      <c r="H404">
        <v>7609873126</v>
      </c>
      <c r="I404" t="s">
        <v>1493</v>
      </c>
    </row>
    <row r="405" spans="1:9">
      <c r="A405" t="s">
        <v>3581</v>
      </c>
      <c r="B405" t="s">
        <v>1494</v>
      </c>
      <c r="C405" s="1">
        <v>27505</v>
      </c>
      <c r="D405" t="s">
        <v>28</v>
      </c>
      <c r="E405">
        <v>759889786</v>
      </c>
      <c r="F405" t="s">
        <v>1495</v>
      </c>
      <c r="G405" t="s">
        <v>1496</v>
      </c>
      <c r="H405">
        <v>1915057644</v>
      </c>
      <c r="I405" t="s">
        <v>1497</v>
      </c>
    </row>
    <row r="406" spans="1:9" ht="72">
      <c r="A406" t="s">
        <v>3466</v>
      </c>
      <c r="B406" t="s">
        <v>334</v>
      </c>
      <c r="C406" s="1">
        <v>29366</v>
      </c>
      <c r="D406" t="s">
        <v>15</v>
      </c>
      <c r="E406">
        <v>4486764979</v>
      </c>
      <c r="F406" t="s">
        <v>1498</v>
      </c>
      <c r="G406" s="2" t="s">
        <v>1499</v>
      </c>
      <c r="H406">
        <v>9692771195</v>
      </c>
      <c r="I406" t="s">
        <v>1500</v>
      </c>
    </row>
    <row r="407" spans="1:9" ht="72">
      <c r="A407" t="s">
        <v>3558</v>
      </c>
      <c r="B407" t="s">
        <v>1501</v>
      </c>
      <c r="C407" s="1">
        <v>35698</v>
      </c>
      <c r="D407" t="s">
        <v>28</v>
      </c>
      <c r="E407">
        <v>912551282763</v>
      </c>
      <c r="F407" t="s">
        <v>1502</v>
      </c>
      <c r="G407" s="2" t="s">
        <v>1503</v>
      </c>
      <c r="H407">
        <v>9169993934</v>
      </c>
      <c r="I407" t="s">
        <v>1504</v>
      </c>
    </row>
    <row r="408" spans="1:9">
      <c r="A408" t="s">
        <v>3517</v>
      </c>
      <c r="B408" t="s">
        <v>414</v>
      </c>
      <c r="C408" s="1">
        <v>36693</v>
      </c>
      <c r="D408" t="s">
        <v>10</v>
      </c>
      <c r="E408">
        <v>8223095862</v>
      </c>
      <c r="F408" t="s">
        <v>1505</v>
      </c>
      <c r="G408" t="s">
        <v>1506</v>
      </c>
      <c r="H408">
        <v>8534655792</v>
      </c>
      <c r="I408" t="s">
        <v>1507</v>
      </c>
    </row>
    <row r="409" spans="1:9">
      <c r="A409" t="s">
        <v>3458</v>
      </c>
      <c r="B409" t="s">
        <v>1508</v>
      </c>
      <c r="C409" s="1">
        <v>19419</v>
      </c>
      <c r="D409" t="s">
        <v>10</v>
      </c>
      <c r="E409">
        <v>919390025121</v>
      </c>
      <c r="F409" t="s">
        <v>1509</v>
      </c>
      <c r="G409" t="s">
        <v>1510</v>
      </c>
      <c r="H409">
        <v>4566311388</v>
      </c>
      <c r="I409" t="s">
        <v>1511</v>
      </c>
    </row>
    <row r="410" spans="1:9" ht="72">
      <c r="A410" t="s">
        <v>3473</v>
      </c>
      <c r="B410" t="s">
        <v>456</v>
      </c>
      <c r="C410" s="1">
        <v>18659</v>
      </c>
      <c r="D410" t="s">
        <v>28</v>
      </c>
      <c r="E410">
        <v>913474246310</v>
      </c>
      <c r="F410" t="s">
        <v>1512</v>
      </c>
      <c r="G410" s="2" t="s">
        <v>1513</v>
      </c>
      <c r="H410">
        <v>7430435023</v>
      </c>
      <c r="I410" t="s">
        <v>1514</v>
      </c>
    </row>
    <row r="411" spans="1:9" ht="86.4">
      <c r="A411" t="s">
        <v>3484</v>
      </c>
      <c r="B411" t="s">
        <v>1314</v>
      </c>
      <c r="C411" s="1">
        <v>22330</v>
      </c>
      <c r="D411" t="s">
        <v>10</v>
      </c>
      <c r="E411">
        <v>5233282930</v>
      </c>
      <c r="F411" t="s">
        <v>1515</v>
      </c>
      <c r="G411" s="2" t="s">
        <v>1516</v>
      </c>
      <c r="H411">
        <v>6279955302</v>
      </c>
      <c r="I411" t="s">
        <v>1517</v>
      </c>
    </row>
    <row r="412" spans="1:9" ht="72">
      <c r="A412" t="s">
        <v>3487</v>
      </c>
      <c r="B412" t="s">
        <v>426</v>
      </c>
      <c r="C412" s="1">
        <v>24247</v>
      </c>
      <c r="D412" t="s">
        <v>10</v>
      </c>
      <c r="E412">
        <v>2303420284</v>
      </c>
      <c r="F412" t="s">
        <v>1518</v>
      </c>
      <c r="G412" s="2" t="s">
        <v>1519</v>
      </c>
      <c r="H412">
        <v>7754619924</v>
      </c>
      <c r="I412" t="s">
        <v>1520</v>
      </c>
    </row>
    <row r="413" spans="1:9">
      <c r="A413" t="s">
        <v>3575</v>
      </c>
      <c r="B413" t="s">
        <v>88</v>
      </c>
      <c r="C413" s="1">
        <v>33458</v>
      </c>
      <c r="D413" t="s">
        <v>10</v>
      </c>
      <c r="E413">
        <v>915812259095</v>
      </c>
      <c r="F413" t="s">
        <v>1521</v>
      </c>
      <c r="G413" t="s">
        <v>1522</v>
      </c>
      <c r="H413">
        <v>7803586901</v>
      </c>
      <c r="I413" t="s">
        <v>1523</v>
      </c>
    </row>
    <row r="414" spans="1:9" ht="72">
      <c r="A414" t="s">
        <v>3439</v>
      </c>
      <c r="B414" t="s">
        <v>1099</v>
      </c>
      <c r="C414" s="1">
        <v>26588</v>
      </c>
      <c r="D414" t="s">
        <v>15</v>
      </c>
      <c r="E414">
        <v>919994529517</v>
      </c>
      <c r="F414" t="s">
        <v>1524</v>
      </c>
      <c r="G414" s="2" t="s">
        <v>1525</v>
      </c>
      <c r="H414">
        <v>9633083344</v>
      </c>
      <c r="I414" t="s">
        <v>1526</v>
      </c>
    </row>
    <row r="415" spans="1:9" ht="86.4">
      <c r="A415" t="s">
        <v>3554</v>
      </c>
      <c r="B415" t="s">
        <v>1329</v>
      </c>
      <c r="C415" s="1">
        <v>18118</v>
      </c>
      <c r="D415" t="s">
        <v>10</v>
      </c>
      <c r="E415">
        <v>7020596851</v>
      </c>
      <c r="F415" t="s">
        <v>1527</v>
      </c>
      <c r="G415" s="2" t="s">
        <v>1528</v>
      </c>
      <c r="H415">
        <v>2259206165</v>
      </c>
      <c r="I415" t="s">
        <v>1529</v>
      </c>
    </row>
    <row r="416" spans="1:9">
      <c r="A416" t="s">
        <v>3523</v>
      </c>
      <c r="B416" t="s">
        <v>677</v>
      </c>
      <c r="C416" s="1">
        <v>21577</v>
      </c>
      <c r="D416" t="s">
        <v>10</v>
      </c>
      <c r="E416">
        <v>4115630295</v>
      </c>
      <c r="F416" t="s">
        <v>1530</v>
      </c>
      <c r="G416" t="s">
        <v>1531</v>
      </c>
      <c r="H416">
        <v>1331380049</v>
      </c>
      <c r="I416" t="s">
        <v>1532</v>
      </c>
    </row>
    <row r="417" spans="1:9" ht="86.4">
      <c r="A417" t="s">
        <v>3563</v>
      </c>
      <c r="B417" t="s">
        <v>876</v>
      </c>
      <c r="C417" s="1">
        <v>19722</v>
      </c>
      <c r="D417" t="s">
        <v>28</v>
      </c>
      <c r="E417">
        <v>4815826868</v>
      </c>
      <c r="F417" t="s">
        <v>1533</v>
      </c>
      <c r="G417" s="2" t="s">
        <v>1534</v>
      </c>
      <c r="H417">
        <v>7787358566</v>
      </c>
      <c r="I417" t="s">
        <v>1535</v>
      </c>
    </row>
    <row r="418" spans="1:9" ht="57.6">
      <c r="A418" t="s">
        <v>3577</v>
      </c>
      <c r="B418" t="s">
        <v>1536</v>
      </c>
      <c r="C418" s="1">
        <v>22308</v>
      </c>
      <c r="D418" t="s">
        <v>10</v>
      </c>
      <c r="E418">
        <v>919262213204</v>
      </c>
      <c r="F418" t="s">
        <v>1537</v>
      </c>
      <c r="G418" s="2" t="s">
        <v>1538</v>
      </c>
      <c r="H418">
        <v>1800366602</v>
      </c>
      <c r="I418" t="s">
        <v>1539</v>
      </c>
    </row>
    <row r="419" spans="1:9" ht="57.6">
      <c r="A419" t="s">
        <v>3496</v>
      </c>
      <c r="B419" t="s">
        <v>1243</v>
      </c>
      <c r="C419" s="1">
        <v>27670</v>
      </c>
      <c r="D419" t="s">
        <v>15</v>
      </c>
      <c r="E419">
        <v>911050524383</v>
      </c>
      <c r="F419" t="s">
        <v>1540</v>
      </c>
      <c r="G419" s="2" t="s">
        <v>1541</v>
      </c>
      <c r="H419">
        <v>6337618518</v>
      </c>
      <c r="I419" t="s">
        <v>1542</v>
      </c>
    </row>
    <row r="420" spans="1:9">
      <c r="A420" t="s">
        <v>3552</v>
      </c>
      <c r="B420" t="s">
        <v>1543</v>
      </c>
      <c r="C420" s="1">
        <v>17847</v>
      </c>
      <c r="D420" t="s">
        <v>15</v>
      </c>
      <c r="E420">
        <v>913282339218</v>
      </c>
      <c r="F420" t="s">
        <v>1544</v>
      </c>
      <c r="G420" t="s">
        <v>1545</v>
      </c>
      <c r="H420">
        <v>4319279761</v>
      </c>
      <c r="I420" t="s">
        <v>1546</v>
      </c>
    </row>
    <row r="421" spans="1:9" ht="86.4">
      <c r="A421" t="s">
        <v>3418</v>
      </c>
      <c r="B421" t="s">
        <v>187</v>
      </c>
      <c r="C421" s="1">
        <v>35046</v>
      </c>
      <c r="D421" t="s">
        <v>28</v>
      </c>
      <c r="E421">
        <v>5720266568</v>
      </c>
      <c r="F421" t="s">
        <v>1547</v>
      </c>
      <c r="G421" s="2" t="s">
        <v>1548</v>
      </c>
      <c r="H421">
        <v>4299074729</v>
      </c>
      <c r="I421" t="s">
        <v>1549</v>
      </c>
    </row>
    <row r="422" spans="1:9" ht="86.4">
      <c r="A422" t="s">
        <v>3573</v>
      </c>
      <c r="B422" t="s">
        <v>23</v>
      </c>
      <c r="C422" s="1">
        <v>18363</v>
      </c>
      <c r="D422" t="s">
        <v>15</v>
      </c>
      <c r="E422">
        <v>897474859</v>
      </c>
      <c r="F422" t="s">
        <v>1550</v>
      </c>
      <c r="G422" s="2" t="s">
        <v>1551</v>
      </c>
      <c r="H422">
        <v>6498044509</v>
      </c>
      <c r="I422" t="s">
        <v>1552</v>
      </c>
    </row>
    <row r="423" spans="1:9" ht="72">
      <c r="A423" t="s">
        <v>3447</v>
      </c>
      <c r="B423" t="s">
        <v>264</v>
      </c>
      <c r="C423" s="1">
        <v>29227</v>
      </c>
      <c r="D423" t="s">
        <v>15</v>
      </c>
      <c r="E423">
        <v>916648900824</v>
      </c>
      <c r="F423" t="s">
        <v>1553</v>
      </c>
      <c r="G423" s="2" t="s">
        <v>1554</v>
      </c>
      <c r="H423">
        <v>275000305</v>
      </c>
      <c r="I423" t="s">
        <v>1555</v>
      </c>
    </row>
    <row r="424" spans="1:9">
      <c r="A424" t="s">
        <v>3517</v>
      </c>
      <c r="B424" t="s">
        <v>437</v>
      </c>
      <c r="C424" s="1">
        <v>27455</v>
      </c>
      <c r="D424" t="s">
        <v>10</v>
      </c>
      <c r="E424">
        <v>1849378467</v>
      </c>
      <c r="F424" t="s">
        <v>1556</v>
      </c>
      <c r="G424" t="s">
        <v>1557</v>
      </c>
      <c r="H424">
        <v>9067456865</v>
      </c>
      <c r="I424" t="s">
        <v>1558</v>
      </c>
    </row>
    <row r="425" spans="1:9" ht="72">
      <c r="A425" t="s">
        <v>3495</v>
      </c>
      <c r="B425" t="s">
        <v>1559</v>
      </c>
      <c r="C425" s="1">
        <v>33020</v>
      </c>
      <c r="D425" t="s">
        <v>10</v>
      </c>
      <c r="E425">
        <v>6725622219</v>
      </c>
      <c r="F425" t="s">
        <v>1560</v>
      </c>
      <c r="G425" s="2" t="s">
        <v>1561</v>
      </c>
      <c r="H425">
        <v>8350712455</v>
      </c>
      <c r="I425" t="s">
        <v>1562</v>
      </c>
    </row>
    <row r="426" spans="1:9">
      <c r="A426" t="s">
        <v>3467</v>
      </c>
      <c r="B426" t="s">
        <v>1536</v>
      </c>
      <c r="C426" s="1">
        <v>22421</v>
      </c>
      <c r="D426" t="s">
        <v>15</v>
      </c>
      <c r="E426">
        <v>911732772648</v>
      </c>
      <c r="F426" t="s">
        <v>1563</v>
      </c>
      <c r="G426" t="s">
        <v>1564</v>
      </c>
      <c r="H426">
        <v>805491477</v>
      </c>
      <c r="I426" t="s">
        <v>1565</v>
      </c>
    </row>
    <row r="427" spans="1:9" ht="72">
      <c r="A427" t="s">
        <v>3560</v>
      </c>
      <c r="B427" t="s">
        <v>1566</v>
      </c>
      <c r="C427" s="1">
        <v>25222</v>
      </c>
      <c r="D427" t="s">
        <v>28</v>
      </c>
      <c r="E427">
        <v>8417159497</v>
      </c>
      <c r="F427" t="s">
        <v>1567</v>
      </c>
      <c r="G427" s="2" t="s">
        <v>1568</v>
      </c>
      <c r="H427">
        <v>7882815278</v>
      </c>
      <c r="I427" t="s">
        <v>1569</v>
      </c>
    </row>
    <row r="428" spans="1:9" ht="86.4">
      <c r="A428" t="s">
        <v>3452</v>
      </c>
      <c r="B428" t="s">
        <v>1570</v>
      </c>
      <c r="C428" s="1">
        <v>22339</v>
      </c>
      <c r="D428" t="s">
        <v>28</v>
      </c>
      <c r="E428">
        <v>917465353780</v>
      </c>
      <c r="F428" t="s">
        <v>1571</v>
      </c>
      <c r="G428" s="2" t="s">
        <v>1572</v>
      </c>
      <c r="H428">
        <v>9946645099</v>
      </c>
      <c r="I428" t="s">
        <v>1573</v>
      </c>
    </row>
    <row r="429" spans="1:9" ht="72">
      <c r="A429" t="s">
        <v>3450</v>
      </c>
      <c r="B429" t="s">
        <v>1574</v>
      </c>
      <c r="C429" s="1">
        <v>23490</v>
      </c>
      <c r="D429" t="s">
        <v>10</v>
      </c>
      <c r="E429">
        <v>835211896</v>
      </c>
      <c r="F429" t="s">
        <v>1575</v>
      </c>
      <c r="G429" s="2" t="s">
        <v>1576</v>
      </c>
      <c r="H429">
        <v>2217978912</v>
      </c>
      <c r="I429" t="s">
        <v>1577</v>
      </c>
    </row>
    <row r="430" spans="1:9" ht="57.6">
      <c r="A430" t="s">
        <v>3582</v>
      </c>
      <c r="B430" t="s">
        <v>640</v>
      </c>
      <c r="C430" s="1">
        <v>36483</v>
      </c>
      <c r="D430" t="s">
        <v>15</v>
      </c>
      <c r="E430">
        <v>8445143672</v>
      </c>
      <c r="F430" t="s">
        <v>1578</v>
      </c>
      <c r="G430" s="2" t="s">
        <v>1579</v>
      </c>
      <c r="H430">
        <v>9009921779</v>
      </c>
      <c r="I430" t="s">
        <v>1580</v>
      </c>
    </row>
    <row r="431" spans="1:9" ht="72">
      <c r="A431" t="s">
        <v>3498</v>
      </c>
      <c r="B431" t="s">
        <v>418</v>
      </c>
      <c r="C431" s="1">
        <v>37445</v>
      </c>
      <c r="D431" t="s">
        <v>10</v>
      </c>
      <c r="E431">
        <v>1588070532</v>
      </c>
      <c r="F431" t="s">
        <v>1581</v>
      </c>
      <c r="G431" s="2" t="s">
        <v>1582</v>
      </c>
      <c r="H431">
        <v>9085818104</v>
      </c>
      <c r="I431" t="s">
        <v>1583</v>
      </c>
    </row>
    <row r="432" spans="1:9" ht="72">
      <c r="A432" t="s">
        <v>3583</v>
      </c>
      <c r="B432" t="s">
        <v>572</v>
      </c>
      <c r="C432" s="1">
        <v>26358</v>
      </c>
      <c r="D432" t="s">
        <v>28</v>
      </c>
      <c r="E432">
        <v>8736627135</v>
      </c>
      <c r="F432" t="s">
        <v>1584</v>
      </c>
      <c r="G432" s="2" t="s">
        <v>1585</v>
      </c>
      <c r="H432">
        <v>7925511643</v>
      </c>
      <c r="I432" t="s">
        <v>1586</v>
      </c>
    </row>
    <row r="433" spans="1:9" ht="86.4">
      <c r="A433" t="s">
        <v>3455</v>
      </c>
      <c r="B433" t="s">
        <v>1432</v>
      </c>
      <c r="C433" s="1">
        <v>21764</v>
      </c>
      <c r="D433" t="s">
        <v>15</v>
      </c>
      <c r="E433">
        <v>9666053428</v>
      </c>
      <c r="F433" t="s">
        <v>1587</v>
      </c>
      <c r="G433" s="2" t="s">
        <v>1588</v>
      </c>
      <c r="H433">
        <v>8027304276</v>
      </c>
      <c r="I433" t="s">
        <v>1589</v>
      </c>
    </row>
    <row r="434" spans="1:9" ht="57.6">
      <c r="A434" t="s">
        <v>3493</v>
      </c>
      <c r="B434" t="s">
        <v>80</v>
      </c>
      <c r="C434" s="1">
        <v>20711</v>
      </c>
      <c r="D434" t="s">
        <v>10</v>
      </c>
      <c r="E434">
        <v>9395309690</v>
      </c>
      <c r="F434" t="s">
        <v>1590</v>
      </c>
      <c r="G434" s="2" t="s">
        <v>1591</v>
      </c>
      <c r="H434">
        <v>2717430688</v>
      </c>
      <c r="I434" t="s">
        <v>1592</v>
      </c>
    </row>
    <row r="435" spans="1:9" ht="86.4">
      <c r="A435" t="s">
        <v>3468</v>
      </c>
      <c r="B435" t="s">
        <v>1593</v>
      </c>
      <c r="C435" s="1">
        <v>32507</v>
      </c>
      <c r="D435" t="s">
        <v>10</v>
      </c>
      <c r="E435">
        <v>8187387758</v>
      </c>
      <c r="F435" t="s">
        <v>1594</v>
      </c>
      <c r="G435" s="2" t="s">
        <v>1595</v>
      </c>
      <c r="H435">
        <v>6254204123</v>
      </c>
      <c r="I435" t="s">
        <v>1596</v>
      </c>
    </row>
    <row r="436" spans="1:9" ht="72">
      <c r="A436" t="s">
        <v>3584</v>
      </c>
      <c r="B436" t="s">
        <v>1597</v>
      </c>
      <c r="C436" s="1">
        <v>19474</v>
      </c>
      <c r="D436" t="s">
        <v>28</v>
      </c>
      <c r="E436">
        <v>910794193245</v>
      </c>
      <c r="F436" t="s">
        <v>1598</v>
      </c>
      <c r="G436" s="2" t="s">
        <v>1599</v>
      </c>
      <c r="H436">
        <v>5174224043</v>
      </c>
      <c r="I436" t="s">
        <v>1600</v>
      </c>
    </row>
    <row r="437" spans="1:9" ht="57.6">
      <c r="A437" t="s">
        <v>3468</v>
      </c>
      <c r="B437" t="s">
        <v>1508</v>
      </c>
      <c r="C437" s="1">
        <v>30896</v>
      </c>
      <c r="D437" t="s">
        <v>10</v>
      </c>
      <c r="E437">
        <v>1630702867</v>
      </c>
      <c r="F437" t="s">
        <v>1601</v>
      </c>
      <c r="G437" s="2" t="s">
        <v>1602</v>
      </c>
      <c r="H437">
        <v>17325900</v>
      </c>
      <c r="I437" t="s">
        <v>1603</v>
      </c>
    </row>
    <row r="438" spans="1:9" ht="57.6">
      <c r="A438" t="s">
        <v>3585</v>
      </c>
      <c r="B438" t="s">
        <v>1604</v>
      </c>
      <c r="C438" s="1">
        <v>22093</v>
      </c>
      <c r="D438" t="s">
        <v>28</v>
      </c>
      <c r="E438">
        <v>911138690871</v>
      </c>
      <c r="F438" t="s">
        <v>1605</v>
      </c>
      <c r="G438" s="2" t="s">
        <v>1606</v>
      </c>
      <c r="H438">
        <v>4360234422</v>
      </c>
      <c r="I438" t="s">
        <v>1607</v>
      </c>
    </row>
    <row r="439" spans="1:9">
      <c r="A439" t="s">
        <v>3460</v>
      </c>
      <c r="B439" t="s">
        <v>1608</v>
      </c>
      <c r="C439" s="1">
        <v>36600</v>
      </c>
      <c r="D439" t="s">
        <v>28</v>
      </c>
      <c r="E439">
        <v>912094477269</v>
      </c>
      <c r="F439" t="s">
        <v>1609</v>
      </c>
      <c r="G439" t="s">
        <v>1610</v>
      </c>
      <c r="H439">
        <v>9851602119</v>
      </c>
      <c r="I439" t="s">
        <v>1611</v>
      </c>
    </row>
    <row r="440" spans="1:9" ht="72">
      <c r="A440" t="s">
        <v>3485</v>
      </c>
      <c r="B440" t="s">
        <v>406</v>
      </c>
      <c r="C440" s="1">
        <v>35303</v>
      </c>
      <c r="D440" t="s">
        <v>15</v>
      </c>
      <c r="E440">
        <v>9864786862</v>
      </c>
      <c r="F440" t="s">
        <v>1612</v>
      </c>
      <c r="G440" s="2" t="s">
        <v>1613</v>
      </c>
      <c r="H440">
        <v>2164006983</v>
      </c>
      <c r="I440" t="s">
        <v>1614</v>
      </c>
    </row>
    <row r="441" spans="1:9" ht="100.8">
      <c r="A441" t="s">
        <v>3586</v>
      </c>
      <c r="B441" t="s">
        <v>693</v>
      </c>
      <c r="C441" s="1">
        <v>28689</v>
      </c>
      <c r="D441" t="s">
        <v>15</v>
      </c>
      <c r="E441">
        <v>7082139865</v>
      </c>
      <c r="F441" t="s">
        <v>1615</v>
      </c>
      <c r="G441" s="2" t="s">
        <v>1616</v>
      </c>
      <c r="H441">
        <v>886346739</v>
      </c>
      <c r="I441" t="s">
        <v>1617</v>
      </c>
    </row>
    <row r="442" spans="1:9">
      <c r="A442" t="s">
        <v>3424</v>
      </c>
      <c r="B442" t="s">
        <v>1618</v>
      </c>
      <c r="C442" s="1">
        <v>20842</v>
      </c>
      <c r="D442" t="s">
        <v>10</v>
      </c>
      <c r="E442">
        <v>1600916923</v>
      </c>
      <c r="F442" t="s">
        <v>1619</v>
      </c>
      <c r="G442" t="s">
        <v>1620</v>
      </c>
      <c r="H442">
        <v>998433611</v>
      </c>
      <c r="I442" t="s">
        <v>1621</v>
      </c>
    </row>
    <row r="443" spans="1:9" ht="86.4">
      <c r="A443" t="s">
        <v>3567</v>
      </c>
      <c r="B443" t="s">
        <v>471</v>
      </c>
      <c r="C443" s="1">
        <v>33877</v>
      </c>
      <c r="D443" t="s">
        <v>28</v>
      </c>
      <c r="E443">
        <v>4582942034</v>
      </c>
      <c r="F443" t="s">
        <v>1622</v>
      </c>
      <c r="G443" s="2" t="s">
        <v>1623</v>
      </c>
      <c r="H443">
        <v>824028182</v>
      </c>
      <c r="I443" t="s">
        <v>1624</v>
      </c>
    </row>
    <row r="444" spans="1:9" ht="86.4">
      <c r="A444" t="s">
        <v>3484</v>
      </c>
      <c r="B444" t="s">
        <v>1566</v>
      </c>
      <c r="C444" s="1">
        <v>18664</v>
      </c>
      <c r="D444" t="s">
        <v>28</v>
      </c>
      <c r="E444">
        <v>5817452735</v>
      </c>
      <c r="F444" t="s">
        <v>1625</v>
      </c>
      <c r="G444" s="2" t="s">
        <v>1626</v>
      </c>
      <c r="H444">
        <v>461007923</v>
      </c>
      <c r="I444" t="s">
        <v>1627</v>
      </c>
    </row>
    <row r="445" spans="1:9" ht="86.4">
      <c r="A445" t="s">
        <v>3548</v>
      </c>
      <c r="B445" t="s">
        <v>364</v>
      </c>
      <c r="C445" s="1">
        <v>21389</v>
      </c>
      <c r="D445" t="s">
        <v>15</v>
      </c>
      <c r="E445">
        <v>1012329615</v>
      </c>
      <c r="F445" t="s">
        <v>1628</v>
      </c>
      <c r="G445" s="2" t="s">
        <v>1629</v>
      </c>
      <c r="H445">
        <v>191530573</v>
      </c>
      <c r="I445" t="s">
        <v>1630</v>
      </c>
    </row>
    <row r="446" spans="1:9" ht="57.6">
      <c r="A446" t="s">
        <v>3449</v>
      </c>
      <c r="B446" t="s">
        <v>410</v>
      </c>
      <c r="C446" s="1">
        <v>31118</v>
      </c>
      <c r="D446" t="s">
        <v>15</v>
      </c>
      <c r="E446">
        <v>912512726708</v>
      </c>
      <c r="F446" t="s">
        <v>1631</v>
      </c>
      <c r="G446" s="2" t="s">
        <v>1632</v>
      </c>
      <c r="H446">
        <v>1290350061</v>
      </c>
      <c r="I446" t="s">
        <v>1633</v>
      </c>
    </row>
    <row r="447" spans="1:9">
      <c r="A447" t="s">
        <v>3417</v>
      </c>
      <c r="B447" t="s">
        <v>755</v>
      </c>
      <c r="C447" s="1">
        <v>24584</v>
      </c>
      <c r="D447" t="s">
        <v>28</v>
      </c>
      <c r="E447">
        <v>914046682121</v>
      </c>
      <c r="F447" t="s">
        <v>1634</v>
      </c>
      <c r="G447" t="s">
        <v>1635</v>
      </c>
      <c r="H447">
        <v>8818273063</v>
      </c>
      <c r="I447" t="s">
        <v>1636</v>
      </c>
    </row>
    <row r="448" spans="1:9" ht="86.4">
      <c r="A448" t="s">
        <v>3515</v>
      </c>
      <c r="B448" t="s">
        <v>1162</v>
      </c>
      <c r="C448" s="1">
        <v>19436</v>
      </c>
      <c r="D448" t="s">
        <v>15</v>
      </c>
      <c r="E448">
        <v>8496806640</v>
      </c>
      <c r="F448" t="s">
        <v>1637</v>
      </c>
      <c r="G448" s="2" t="s">
        <v>1638</v>
      </c>
      <c r="H448">
        <v>6037218600</v>
      </c>
      <c r="I448" t="s">
        <v>1639</v>
      </c>
    </row>
    <row r="449" spans="1:9">
      <c r="A449" t="s">
        <v>3438</v>
      </c>
      <c r="B449" t="s">
        <v>609</v>
      </c>
      <c r="C449" s="1">
        <v>19057</v>
      </c>
      <c r="D449" t="s">
        <v>10</v>
      </c>
      <c r="E449">
        <v>911400347131</v>
      </c>
      <c r="F449" t="s">
        <v>1640</v>
      </c>
      <c r="G449" t="s">
        <v>1641</v>
      </c>
      <c r="H449">
        <v>1375358210</v>
      </c>
      <c r="I449" t="s">
        <v>1642</v>
      </c>
    </row>
    <row r="450" spans="1:9" ht="72">
      <c r="A450" t="s">
        <v>3520</v>
      </c>
      <c r="B450" t="s">
        <v>1643</v>
      </c>
      <c r="C450" s="1">
        <v>37198</v>
      </c>
      <c r="D450" t="s">
        <v>28</v>
      </c>
      <c r="E450">
        <v>9037161608</v>
      </c>
      <c r="F450" t="s">
        <v>1644</v>
      </c>
      <c r="G450" s="2" t="s">
        <v>1645</v>
      </c>
      <c r="H450">
        <v>2480855780</v>
      </c>
      <c r="I450" t="s">
        <v>1646</v>
      </c>
    </row>
    <row r="451" spans="1:9">
      <c r="A451" t="s">
        <v>3573</v>
      </c>
      <c r="B451" t="s">
        <v>944</v>
      </c>
      <c r="C451" s="1">
        <v>21860</v>
      </c>
      <c r="D451" t="s">
        <v>15</v>
      </c>
      <c r="E451">
        <v>916906968574</v>
      </c>
      <c r="F451" t="s">
        <v>1647</v>
      </c>
      <c r="G451" t="s">
        <v>1648</v>
      </c>
      <c r="H451">
        <v>6107033508</v>
      </c>
      <c r="I451" t="s">
        <v>1649</v>
      </c>
    </row>
    <row r="452" spans="1:9" ht="72">
      <c r="A452" t="s">
        <v>3425</v>
      </c>
      <c r="B452" t="s">
        <v>629</v>
      </c>
      <c r="C452" s="1">
        <v>23348</v>
      </c>
      <c r="D452" t="s">
        <v>10</v>
      </c>
      <c r="E452">
        <v>2484813004</v>
      </c>
      <c r="F452" t="s">
        <v>1650</v>
      </c>
      <c r="G452" s="2" t="s">
        <v>1651</v>
      </c>
      <c r="H452">
        <v>3481105014</v>
      </c>
      <c r="I452" t="s">
        <v>1652</v>
      </c>
    </row>
    <row r="453" spans="1:9" ht="72">
      <c r="A453" t="s">
        <v>3490</v>
      </c>
      <c r="B453" t="s">
        <v>1478</v>
      </c>
      <c r="C453" s="1">
        <v>20866</v>
      </c>
      <c r="D453" t="s">
        <v>28</v>
      </c>
      <c r="E453">
        <v>7385512817</v>
      </c>
      <c r="F453" t="s">
        <v>1653</v>
      </c>
      <c r="G453" s="2" t="s">
        <v>1654</v>
      </c>
      <c r="H453">
        <v>4654677205</v>
      </c>
      <c r="I453" t="s">
        <v>1655</v>
      </c>
    </row>
    <row r="454" spans="1:9" ht="57.6">
      <c r="A454" t="s">
        <v>3587</v>
      </c>
      <c r="B454" t="s">
        <v>759</v>
      </c>
      <c r="C454" s="1">
        <v>27378</v>
      </c>
      <c r="D454" t="s">
        <v>10</v>
      </c>
      <c r="E454">
        <v>7837031754</v>
      </c>
      <c r="F454" t="s">
        <v>1656</v>
      </c>
      <c r="G454" s="2" t="s">
        <v>1657</v>
      </c>
      <c r="H454">
        <v>8407664207</v>
      </c>
      <c r="I454" t="s">
        <v>1658</v>
      </c>
    </row>
    <row r="455" spans="1:9">
      <c r="A455" t="s">
        <v>3448</v>
      </c>
      <c r="B455" t="s">
        <v>1659</v>
      </c>
      <c r="C455" s="1">
        <v>27791</v>
      </c>
      <c r="D455" t="s">
        <v>10</v>
      </c>
      <c r="E455">
        <v>6259238687</v>
      </c>
      <c r="F455" t="s">
        <v>1660</v>
      </c>
      <c r="G455" t="s">
        <v>1661</v>
      </c>
      <c r="H455">
        <v>6159764053</v>
      </c>
      <c r="I455" t="s">
        <v>1662</v>
      </c>
    </row>
    <row r="456" spans="1:9" ht="72">
      <c r="A456" t="s">
        <v>3588</v>
      </c>
      <c r="B456" t="s">
        <v>1663</v>
      </c>
      <c r="C456" s="1">
        <v>26252</v>
      </c>
      <c r="D456" t="s">
        <v>28</v>
      </c>
      <c r="E456">
        <v>4261903842</v>
      </c>
      <c r="F456" t="s">
        <v>1664</v>
      </c>
      <c r="G456" s="2" t="s">
        <v>1665</v>
      </c>
      <c r="H456">
        <v>6204298514</v>
      </c>
      <c r="I456" t="s">
        <v>1666</v>
      </c>
    </row>
    <row r="457" spans="1:9">
      <c r="A457" t="s">
        <v>3477</v>
      </c>
      <c r="B457" t="s">
        <v>1667</v>
      </c>
      <c r="C457" s="1">
        <v>28386</v>
      </c>
      <c r="D457" t="s">
        <v>10</v>
      </c>
      <c r="E457">
        <v>392202698</v>
      </c>
      <c r="F457" t="s">
        <v>1668</v>
      </c>
      <c r="G457" t="s">
        <v>1669</v>
      </c>
      <c r="H457">
        <v>49332672</v>
      </c>
      <c r="I457" t="s">
        <v>1670</v>
      </c>
    </row>
    <row r="458" spans="1:9">
      <c r="A458" t="s">
        <v>3456</v>
      </c>
      <c r="B458" t="s">
        <v>1671</v>
      </c>
      <c r="C458" s="1">
        <v>37276</v>
      </c>
      <c r="D458" t="s">
        <v>15</v>
      </c>
      <c r="E458">
        <v>6380839065</v>
      </c>
      <c r="F458" t="s">
        <v>1672</v>
      </c>
      <c r="G458" t="s">
        <v>1673</v>
      </c>
      <c r="H458">
        <v>3504960266</v>
      </c>
      <c r="I458" t="s">
        <v>1674</v>
      </c>
    </row>
    <row r="459" spans="1:9" ht="86.4">
      <c r="A459" t="s">
        <v>3546</v>
      </c>
      <c r="B459" t="s">
        <v>1675</v>
      </c>
      <c r="C459" s="1">
        <v>32444</v>
      </c>
      <c r="D459" t="s">
        <v>15</v>
      </c>
      <c r="E459">
        <v>4995070886</v>
      </c>
      <c r="F459" t="s">
        <v>1676</v>
      </c>
      <c r="G459" s="2" t="s">
        <v>1677</v>
      </c>
      <c r="H459">
        <v>4390448909</v>
      </c>
      <c r="I459" t="s">
        <v>1678</v>
      </c>
    </row>
    <row r="460" spans="1:9">
      <c r="A460" t="s">
        <v>3423</v>
      </c>
      <c r="B460" t="s">
        <v>663</v>
      </c>
      <c r="C460" s="1">
        <v>26713</v>
      </c>
      <c r="D460" t="s">
        <v>15</v>
      </c>
      <c r="E460">
        <v>910255501935</v>
      </c>
      <c r="F460" t="s">
        <v>1679</v>
      </c>
      <c r="G460" t="s">
        <v>1680</v>
      </c>
      <c r="H460">
        <v>5983124412</v>
      </c>
      <c r="I460" t="s">
        <v>1681</v>
      </c>
    </row>
    <row r="461" spans="1:9" ht="72">
      <c r="A461" t="s">
        <v>3439</v>
      </c>
      <c r="B461" t="s">
        <v>594</v>
      </c>
      <c r="C461" s="1">
        <v>21155</v>
      </c>
      <c r="D461" t="s">
        <v>10</v>
      </c>
      <c r="E461">
        <v>911237631774</v>
      </c>
      <c r="F461" t="s">
        <v>1682</v>
      </c>
      <c r="G461" s="2" t="s">
        <v>1683</v>
      </c>
      <c r="H461">
        <v>7536264752</v>
      </c>
      <c r="I461" t="s">
        <v>1684</v>
      </c>
    </row>
    <row r="462" spans="1:9" ht="86.4">
      <c r="A462" t="s">
        <v>3490</v>
      </c>
      <c r="B462" t="s">
        <v>287</v>
      </c>
      <c r="C462" s="1">
        <v>28976</v>
      </c>
      <c r="D462" t="s">
        <v>15</v>
      </c>
      <c r="E462">
        <v>910099284524</v>
      </c>
      <c r="F462" t="s">
        <v>1685</v>
      </c>
      <c r="G462" s="2" t="s">
        <v>1686</v>
      </c>
      <c r="H462">
        <v>9724792542</v>
      </c>
      <c r="I462" t="s">
        <v>1687</v>
      </c>
    </row>
    <row r="463" spans="1:9" ht="72">
      <c r="A463" t="s">
        <v>3436</v>
      </c>
      <c r="B463" t="s">
        <v>557</v>
      </c>
      <c r="C463" s="1">
        <v>35235</v>
      </c>
      <c r="D463" t="s">
        <v>10</v>
      </c>
      <c r="E463">
        <v>1920487706</v>
      </c>
      <c r="F463" t="s">
        <v>1688</v>
      </c>
      <c r="G463" s="2" t="s">
        <v>1689</v>
      </c>
      <c r="H463">
        <v>4085858838</v>
      </c>
      <c r="I463" t="s">
        <v>1690</v>
      </c>
    </row>
    <row r="464" spans="1:9" ht="86.4">
      <c r="A464" t="s">
        <v>3473</v>
      </c>
      <c r="B464" t="s">
        <v>19</v>
      </c>
      <c r="C464" s="1">
        <v>24441</v>
      </c>
      <c r="D464" t="s">
        <v>15</v>
      </c>
      <c r="E464">
        <v>7292543551</v>
      </c>
      <c r="F464" t="s">
        <v>1691</v>
      </c>
      <c r="G464" s="2" t="s">
        <v>1692</v>
      </c>
      <c r="H464">
        <v>4201223414</v>
      </c>
      <c r="I464" t="s">
        <v>1693</v>
      </c>
    </row>
    <row r="465" spans="1:9" ht="72">
      <c r="A465" t="s">
        <v>3585</v>
      </c>
      <c r="B465" t="s">
        <v>319</v>
      </c>
      <c r="C465" s="1">
        <v>27630</v>
      </c>
      <c r="D465" t="s">
        <v>28</v>
      </c>
      <c r="E465">
        <v>917026604509</v>
      </c>
      <c r="F465" t="s">
        <v>1694</v>
      </c>
      <c r="G465" s="2" t="s">
        <v>1695</v>
      </c>
      <c r="H465">
        <v>2247119360</v>
      </c>
      <c r="I465" t="s">
        <v>1696</v>
      </c>
    </row>
    <row r="466" spans="1:9" ht="72">
      <c r="A466" t="s">
        <v>3495</v>
      </c>
      <c r="B466" t="s">
        <v>1697</v>
      </c>
      <c r="C466" s="1">
        <v>24810</v>
      </c>
      <c r="D466" t="s">
        <v>10</v>
      </c>
      <c r="E466">
        <v>1607626438</v>
      </c>
      <c r="F466" t="s">
        <v>1698</v>
      </c>
      <c r="G466" s="2" t="s">
        <v>1699</v>
      </c>
      <c r="H466">
        <v>9441642316</v>
      </c>
      <c r="I466" t="s">
        <v>1700</v>
      </c>
    </row>
    <row r="467" spans="1:9">
      <c r="A467" t="s">
        <v>3520</v>
      </c>
      <c r="B467" t="s">
        <v>1536</v>
      </c>
      <c r="C467" s="1">
        <v>27479</v>
      </c>
      <c r="D467" t="s">
        <v>10</v>
      </c>
      <c r="E467">
        <v>5760634942</v>
      </c>
      <c r="F467" t="s">
        <v>1701</v>
      </c>
      <c r="G467" t="s">
        <v>1702</v>
      </c>
      <c r="H467">
        <v>4441723456</v>
      </c>
      <c r="I467" t="s">
        <v>1703</v>
      </c>
    </row>
    <row r="468" spans="1:9">
      <c r="A468" t="s">
        <v>3431</v>
      </c>
      <c r="B468" t="s">
        <v>1120</v>
      </c>
      <c r="C468" s="1">
        <v>26748</v>
      </c>
      <c r="D468" t="s">
        <v>15</v>
      </c>
      <c r="E468">
        <v>8536268904</v>
      </c>
      <c r="F468" t="s">
        <v>1704</v>
      </c>
      <c r="G468" t="s">
        <v>1705</v>
      </c>
      <c r="H468">
        <v>5990093781</v>
      </c>
      <c r="I468" t="s">
        <v>1706</v>
      </c>
    </row>
    <row r="469" spans="1:9" ht="86.4">
      <c r="A469" t="s">
        <v>3516</v>
      </c>
      <c r="B469" t="s">
        <v>1707</v>
      </c>
      <c r="C469" s="1">
        <v>23348</v>
      </c>
      <c r="D469" t="s">
        <v>28</v>
      </c>
      <c r="E469">
        <v>8844370661</v>
      </c>
      <c r="F469" t="s">
        <v>1708</v>
      </c>
      <c r="G469" s="2" t="s">
        <v>1709</v>
      </c>
      <c r="H469">
        <v>7729108450</v>
      </c>
      <c r="I469" t="s">
        <v>1710</v>
      </c>
    </row>
    <row r="470" spans="1:9" ht="72">
      <c r="A470" t="s">
        <v>3437</v>
      </c>
      <c r="B470" t="s">
        <v>850</v>
      </c>
      <c r="C470" s="1">
        <v>26214</v>
      </c>
      <c r="D470" t="s">
        <v>15</v>
      </c>
      <c r="E470">
        <v>913374698330</v>
      </c>
      <c r="F470" t="s">
        <v>1711</v>
      </c>
      <c r="G470" s="2" t="s">
        <v>1712</v>
      </c>
      <c r="H470">
        <v>878865385</v>
      </c>
      <c r="I470" t="s">
        <v>1713</v>
      </c>
    </row>
    <row r="471" spans="1:9">
      <c r="A471" t="s">
        <v>3458</v>
      </c>
      <c r="B471" t="s">
        <v>291</v>
      </c>
      <c r="C471" s="1">
        <v>38039</v>
      </c>
      <c r="D471" t="s">
        <v>15</v>
      </c>
      <c r="E471">
        <v>918987605504</v>
      </c>
      <c r="F471" t="s">
        <v>1714</v>
      </c>
      <c r="G471" t="s">
        <v>1715</v>
      </c>
      <c r="H471">
        <v>9928919827</v>
      </c>
      <c r="I471" t="s">
        <v>1716</v>
      </c>
    </row>
    <row r="472" spans="1:9" ht="72">
      <c r="A472" t="s">
        <v>3589</v>
      </c>
      <c r="B472" t="s">
        <v>176</v>
      </c>
      <c r="C472" s="1">
        <v>29351</v>
      </c>
      <c r="D472" t="s">
        <v>28</v>
      </c>
      <c r="E472">
        <v>917086494269</v>
      </c>
      <c r="F472" t="s">
        <v>1717</v>
      </c>
      <c r="G472" s="2" t="s">
        <v>1718</v>
      </c>
      <c r="H472">
        <v>9587305498</v>
      </c>
      <c r="I472" t="s">
        <v>1719</v>
      </c>
    </row>
    <row r="473" spans="1:9" ht="72">
      <c r="A473" t="s">
        <v>3556</v>
      </c>
      <c r="B473" t="s">
        <v>663</v>
      </c>
      <c r="C473" s="1">
        <v>38002</v>
      </c>
      <c r="D473" t="s">
        <v>28</v>
      </c>
      <c r="E473">
        <v>912178167806</v>
      </c>
      <c r="F473" t="s">
        <v>1720</v>
      </c>
      <c r="G473" s="2" t="s">
        <v>1721</v>
      </c>
      <c r="H473">
        <v>9264070308</v>
      </c>
      <c r="I473" t="s">
        <v>1722</v>
      </c>
    </row>
    <row r="474" spans="1:9">
      <c r="A474" t="s">
        <v>3423</v>
      </c>
      <c r="B474" t="s">
        <v>1723</v>
      </c>
      <c r="C474" s="1">
        <v>28132</v>
      </c>
      <c r="D474" t="s">
        <v>15</v>
      </c>
      <c r="E474">
        <v>2448500728</v>
      </c>
      <c r="F474" t="s">
        <v>1724</v>
      </c>
      <c r="G474" t="s">
        <v>1725</v>
      </c>
      <c r="H474">
        <v>808203917</v>
      </c>
      <c r="I474" t="s">
        <v>1726</v>
      </c>
    </row>
    <row r="475" spans="1:9" ht="72">
      <c r="A475" t="s">
        <v>3506</v>
      </c>
      <c r="B475" t="s">
        <v>198</v>
      </c>
      <c r="C475" s="1">
        <v>32612</v>
      </c>
      <c r="D475" t="s">
        <v>28</v>
      </c>
      <c r="E475">
        <v>2458701204</v>
      </c>
      <c r="F475" t="s">
        <v>1727</v>
      </c>
      <c r="G475" s="2" t="s">
        <v>1728</v>
      </c>
      <c r="H475">
        <v>243652405</v>
      </c>
      <c r="I475" t="s">
        <v>1729</v>
      </c>
    </row>
    <row r="476" spans="1:9" ht="72">
      <c r="A476" t="s">
        <v>3581</v>
      </c>
      <c r="B476" t="s">
        <v>516</v>
      </c>
      <c r="C476" s="1">
        <v>26954</v>
      </c>
      <c r="D476" t="s">
        <v>15</v>
      </c>
      <c r="E476">
        <v>364882159</v>
      </c>
      <c r="F476" t="s">
        <v>1730</v>
      </c>
      <c r="G476" s="2" t="s">
        <v>1731</v>
      </c>
      <c r="H476">
        <v>4912594972</v>
      </c>
      <c r="I476" t="s">
        <v>1732</v>
      </c>
    </row>
    <row r="477" spans="1:9" ht="57.6">
      <c r="A477" t="s">
        <v>3480</v>
      </c>
      <c r="B477" t="s">
        <v>376</v>
      </c>
      <c r="C477" s="1">
        <v>33234</v>
      </c>
      <c r="D477" t="s">
        <v>10</v>
      </c>
      <c r="E477">
        <v>910666179962</v>
      </c>
      <c r="F477" t="s">
        <v>1733</v>
      </c>
      <c r="G477" s="2" t="s">
        <v>1734</v>
      </c>
      <c r="H477">
        <v>1348208493</v>
      </c>
      <c r="I477" t="s">
        <v>1735</v>
      </c>
    </row>
    <row r="478" spans="1:9" ht="86.4">
      <c r="A478" t="s">
        <v>3549</v>
      </c>
      <c r="B478" t="s">
        <v>1736</v>
      </c>
      <c r="C478" s="1">
        <v>20960</v>
      </c>
      <c r="D478" t="s">
        <v>15</v>
      </c>
      <c r="E478">
        <v>1440762</v>
      </c>
      <c r="F478" t="s">
        <v>1737</v>
      </c>
      <c r="G478" s="2" t="s">
        <v>1738</v>
      </c>
      <c r="H478">
        <v>5642240592</v>
      </c>
      <c r="I478" t="s">
        <v>1739</v>
      </c>
    </row>
    <row r="479" spans="1:9">
      <c r="A479" t="s">
        <v>3437</v>
      </c>
      <c r="B479" t="s">
        <v>1133</v>
      </c>
      <c r="C479" s="1">
        <v>32954</v>
      </c>
      <c r="D479" t="s">
        <v>10</v>
      </c>
      <c r="E479">
        <v>919489629805</v>
      </c>
      <c r="F479" t="s">
        <v>1740</v>
      </c>
      <c r="G479" t="s">
        <v>1741</v>
      </c>
      <c r="H479">
        <v>4741253137</v>
      </c>
      <c r="I479" t="s">
        <v>1742</v>
      </c>
    </row>
    <row r="480" spans="1:9">
      <c r="A480" t="s">
        <v>3494</v>
      </c>
      <c r="B480" t="s">
        <v>576</v>
      </c>
      <c r="C480" s="1">
        <v>22041</v>
      </c>
      <c r="D480" t="s">
        <v>15</v>
      </c>
      <c r="E480">
        <v>917503619202</v>
      </c>
      <c r="F480" t="s">
        <v>1743</v>
      </c>
      <c r="G480" t="s">
        <v>1744</v>
      </c>
      <c r="H480">
        <v>4760786235</v>
      </c>
      <c r="I480" t="s">
        <v>1745</v>
      </c>
    </row>
    <row r="481" spans="1:9">
      <c r="A481" t="s">
        <v>3590</v>
      </c>
      <c r="B481" t="s">
        <v>1449</v>
      </c>
      <c r="C481" s="1">
        <v>29539</v>
      </c>
      <c r="D481" t="s">
        <v>28</v>
      </c>
      <c r="E481">
        <v>851732895</v>
      </c>
      <c r="F481" t="s">
        <v>1746</v>
      </c>
      <c r="G481" t="s">
        <v>1747</v>
      </c>
      <c r="H481">
        <v>9160770040</v>
      </c>
      <c r="I481" t="s">
        <v>1748</v>
      </c>
    </row>
    <row r="482" spans="1:9" ht="100.8">
      <c r="A482" t="s">
        <v>3517</v>
      </c>
      <c r="B482" t="s">
        <v>1749</v>
      </c>
      <c r="C482" s="1">
        <v>24007</v>
      </c>
      <c r="D482" t="s">
        <v>10</v>
      </c>
      <c r="E482">
        <v>8221803966</v>
      </c>
      <c r="F482" t="s">
        <v>1750</v>
      </c>
      <c r="G482" s="2" t="s">
        <v>1751</v>
      </c>
      <c r="H482">
        <v>3356230397</v>
      </c>
      <c r="I482" t="s">
        <v>1752</v>
      </c>
    </row>
    <row r="483" spans="1:9">
      <c r="A483" t="s">
        <v>3591</v>
      </c>
      <c r="B483" t="s">
        <v>1169</v>
      </c>
      <c r="C483" s="1">
        <v>30393</v>
      </c>
      <c r="D483" t="s">
        <v>28</v>
      </c>
      <c r="E483">
        <v>9870920199</v>
      </c>
      <c r="F483" t="s">
        <v>1753</v>
      </c>
      <c r="G483" t="s">
        <v>1754</v>
      </c>
      <c r="H483">
        <v>6047220539</v>
      </c>
      <c r="I483" t="s">
        <v>1755</v>
      </c>
    </row>
    <row r="484" spans="1:9" ht="72">
      <c r="A484" t="s">
        <v>3521</v>
      </c>
      <c r="B484" t="s">
        <v>751</v>
      </c>
      <c r="C484" s="1">
        <v>35181</v>
      </c>
      <c r="D484" t="s">
        <v>10</v>
      </c>
      <c r="E484">
        <v>918231714619</v>
      </c>
      <c r="F484" t="s">
        <v>1756</v>
      </c>
      <c r="G484" s="2" t="s">
        <v>1757</v>
      </c>
      <c r="H484">
        <v>1840257870</v>
      </c>
      <c r="I484" t="s">
        <v>1758</v>
      </c>
    </row>
    <row r="485" spans="1:9" ht="86.4">
      <c r="A485" t="s">
        <v>3555</v>
      </c>
      <c r="B485" t="s">
        <v>888</v>
      </c>
      <c r="C485" s="1">
        <v>27664</v>
      </c>
      <c r="D485" t="s">
        <v>10</v>
      </c>
      <c r="E485">
        <v>916050281640</v>
      </c>
      <c r="F485" t="s">
        <v>1759</v>
      </c>
      <c r="G485" s="2" t="s">
        <v>1760</v>
      </c>
      <c r="H485">
        <v>3192600986</v>
      </c>
      <c r="I485" t="s">
        <v>1761</v>
      </c>
    </row>
    <row r="486" spans="1:9" ht="100.8">
      <c r="A486" t="s">
        <v>3540</v>
      </c>
      <c r="B486" t="s">
        <v>1762</v>
      </c>
      <c r="C486" s="1">
        <v>33489</v>
      </c>
      <c r="D486" t="s">
        <v>15</v>
      </c>
      <c r="E486">
        <v>2054894453</v>
      </c>
      <c r="F486" t="s">
        <v>1763</v>
      </c>
      <c r="G486" s="2" t="s">
        <v>1764</v>
      </c>
      <c r="H486">
        <v>7056603616</v>
      </c>
      <c r="I486" t="s">
        <v>1765</v>
      </c>
    </row>
    <row r="487" spans="1:9" ht="86.4">
      <c r="A487" t="s">
        <v>3412</v>
      </c>
      <c r="B487" t="s">
        <v>422</v>
      </c>
      <c r="C487" s="1">
        <v>36661</v>
      </c>
      <c r="D487" t="s">
        <v>15</v>
      </c>
      <c r="E487">
        <v>6023515850</v>
      </c>
      <c r="F487" t="s">
        <v>1766</v>
      </c>
      <c r="G487" s="2" t="s">
        <v>1767</v>
      </c>
      <c r="H487">
        <v>3395479406</v>
      </c>
      <c r="I487" t="s">
        <v>1768</v>
      </c>
    </row>
    <row r="488" spans="1:9" ht="57.6">
      <c r="A488" t="s">
        <v>3457</v>
      </c>
      <c r="B488" t="s">
        <v>136</v>
      </c>
      <c r="C488" s="1">
        <v>25763</v>
      </c>
      <c r="D488" t="s">
        <v>15</v>
      </c>
      <c r="E488">
        <v>7191898664</v>
      </c>
      <c r="F488" t="s">
        <v>1769</v>
      </c>
      <c r="G488" s="2" t="s">
        <v>1770</v>
      </c>
      <c r="H488">
        <v>7184301922</v>
      </c>
      <c r="I488" t="s">
        <v>1771</v>
      </c>
    </row>
    <row r="489" spans="1:9" ht="72">
      <c r="A489" t="s">
        <v>3497</v>
      </c>
      <c r="B489" t="s">
        <v>1772</v>
      </c>
      <c r="C489" s="1">
        <v>32832</v>
      </c>
      <c r="D489" t="s">
        <v>15</v>
      </c>
      <c r="E489">
        <v>7323964402</v>
      </c>
      <c r="F489" t="s">
        <v>1773</v>
      </c>
      <c r="G489" s="2" t="s">
        <v>1774</v>
      </c>
      <c r="H489">
        <v>9140169332</v>
      </c>
      <c r="I489" t="s">
        <v>1775</v>
      </c>
    </row>
    <row r="490" spans="1:9" ht="100.8">
      <c r="A490" t="s">
        <v>3567</v>
      </c>
      <c r="B490" t="s">
        <v>1776</v>
      </c>
      <c r="C490" s="1">
        <v>30882</v>
      </c>
      <c r="D490" t="s">
        <v>28</v>
      </c>
      <c r="E490">
        <v>919075515452</v>
      </c>
      <c r="F490" t="s">
        <v>1777</v>
      </c>
      <c r="G490" s="2" t="s">
        <v>1778</v>
      </c>
      <c r="H490">
        <v>7773316806</v>
      </c>
      <c r="I490" t="s">
        <v>1779</v>
      </c>
    </row>
    <row r="491" spans="1:9" ht="86.4">
      <c r="A491" t="s">
        <v>3525</v>
      </c>
      <c r="B491" t="s">
        <v>128</v>
      </c>
      <c r="C491" s="1">
        <v>23743</v>
      </c>
      <c r="D491" t="s">
        <v>15</v>
      </c>
      <c r="E491">
        <v>595298424</v>
      </c>
      <c r="F491" t="s">
        <v>1780</v>
      </c>
      <c r="G491" s="2" t="s">
        <v>1781</v>
      </c>
      <c r="H491">
        <v>36385646</v>
      </c>
      <c r="I491" t="s">
        <v>1782</v>
      </c>
    </row>
    <row r="492" spans="1:9" ht="86.4">
      <c r="A492" t="s">
        <v>3460</v>
      </c>
      <c r="B492" t="s">
        <v>1593</v>
      </c>
      <c r="C492" s="1">
        <v>20424</v>
      </c>
      <c r="D492" t="s">
        <v>15</v>
      </c>
      <c r="E492">
        <v>3997984914</v>
      </c>
      <c r="F492" t="s">
        <v>1783</v>
      </c>
      <c r="G492" s="2" t="s">
        <v>1784</v>
      </c>
      <c r="H492">
        <v>6121289811</v>
      </c>
      <c r="I492" t="s">
        <v>1785</v>
      </c>
    </row>
    <row r="493" spans="1:9" ht="72">
      <c r="A493" t="s">
        <v>3505</v>
      </c>
      <c r="B493" t="s">
        <v>659</v>
      </c>
      <c r="C493" s="1">
        <v>22361</v>
      </c>
      <c r="D493" t="s">
        <v>10</v>
      </c>
      <c r="E493">
        <v>7622398474</v>
      </c>
      <c r="F493" t="s">
        <v>1786</v>
      </c>
      <c r="G493" s="2" t="s">
        <v>1787</v>
      </c>
      <c r="H493">
        <v>6134956479</v>
      </c>
      <c r="I493" t="s">
        <v>1788</v>
      </c>
    </row>
    <row r="494" spans="1:9" ht="100.8">
      <c r="A494" t="s">
        <v>3437</v>
      </c>
      <c r="B494" t="s">
        <v>1789</v>
      </c>
      <c r="C494" s="1">
        <v>28858</v>
      </c>
      <c r="D494" t="s">
        <v>28</v>
      </c>
      <c r="E494">
        <v>4963830972</v>
      </c>
      <c r="F494" t="s">
        <v>1790</v>
      </c>
      <c r="G494" s="2" t="s">
        <v>1791</v>
      </c>
      <c r="H494">
        <v>7865557512</v>
      </c>
      <c r="I494" t="s">
        <v>1792</v>
      </c>
    </row>
    <row r="495" spans="1:9" ht="86.4">
      <c r="A495" t="s">
        <v>3592</v>
      </c>
      <c r="B495" t="s">
        <v>1079</v>
      </c>
      <c r="C495" s="1">
        <v>30777</v>
      </c>
      <c r="D495" t="s">
        <v>28</v>
      </c>
      <c r="E495">
        <v>8240516654</v>
      </c>
      <c r="F495" t="s">
        <v>1793</v>
      </c>
      <c r="G495" s="2" t="s">
        <v>1794</v>
      </c>
      <c r="H495">
        <v>8357017036</v>
      </c>
      <c r="I495" t="s">
        <v>1795</v>
      </c>
    </row>
    <row r="496" spans="1:9" ht="86.4">
      <c r="A496" t="s">
        <v>3478</v>
      </c>
      <c r="B496" t="s">
        <v>1357</v>
      </c>
      <c r="C496" s="1">
        <v>19337</v>
      </c>
      <c r="D496" t="s">
        <v>10</v>
      </c>
      <c r="E496">
        <v>910508983094</v>
      </c>
      <c r="F496" t="s">
        <v>1796</v>
      </c>
      <c r="G496" s="2" t="s">
        <v>1797</v>
      </c>
      <c r="H496">
        <v>8045073567</v>
      </c>
      <c r="I496" t="s">
        <v>1798</v>
      </c>
    </row>
    <row r="497" spans="1:9" ht="72">
      <c r="A497" t="s">
        <v>3537</v>
      </c>
      <c r="B497" t="s">
        <v>851</v>
      </c>
      <c r="C497" s="1">
        <v>34649</v>
      </c>
      <c r="D497" t="s">
        <v>10</v>
      </c>
      <c r="E497">
        <v>915980260294</v>
      </c>
      <c r="F497" t="s">
        <v>1799</v>
      </c>
      <c r="G497" s="2" t="s">
        <v>1800</v>
      </c>
      <c r="H497">
        <v>1977748675</v>
      </c>
      <c r="I497" t="s">
        <v>1801</v>
      </c>
    </row>
    <row r="498" spans="1:9" ht="72">
      <c r="A498" t="s">
        <v>3593</v>
      </c>
      <c r="B498" t="s">
        <v>364</v>
      </c>
      <c r="C498" s="1">
        <v>35763</v>
      </c>
      <c r="D498" t="s">
        <v>15</v>
      </c>
      <c r="E498">
        <v>913088295868</v>
      </c>
      <c r="F498" t="s">
        <v>1802</v>
      </c>
      <c r="G498" s="2" t="s">
        <v>1803</v>
      </c>
      <c r="H498">
        <v>7306629315</v>
      </c>
      <c r="I498" t="s">
        <v>1804</v>
      </c>
    </row>
    <row r="499" spans="1:9" ht="72">
      <c r="A499" t="s">
        <v>3469</v>
      </c>
      <c r="B499" t="s">
        <v>100</v>
      </c>
      <c r="C499" s="1">
        <v>27308</v>
      </c>
      <c r="D499" t="s">
        <v>28</v>
      </c>
      <c r="E499">
        <v>5946989062</v>
      </c>
      <c r="F499" t="s">
        <v>1805</v>
      </c>
      <c r="G499" s="2" t="s">
        <v>1806</v>
      </c>
      <c r="H499">
        <v>847795417</v>
      </c>
      <c r="I499" t="s">
        <v>1807</v>
      </c>
    </row>
    <row r="500" spans="1:9" ht="72">
      <c r="A500" t="s">
        <v>3445</v>
      </c>
      <c r="B500" t="s">
        <v>452</v>
      </c>
      <c r="C500" s="1">
        <v>34864</v>
      </c>
      <c r="D500" t="s">
        <v>15</v>
      </c>
      <c r="E500">
        <v>917378159157</v>
      </c>
      <c r="F500" t="s">
        <v>1808</v>
      </c>
      <c r="G500" s="2" t="s">
        <v>1809</v>
      </c>
      <c r="H500">
        <v>1219051881</v>
      </c>
      <c r="I500" t="s">
        <v>1810</v>
      </c>
    </row>
    <row r="501" spans="1:9">
      <c r="A501" t="s">
        <v>3454</v>
      </c>
      <c r="B501" t="s">
        <v>693</v>
      </c>
      <c r="C501" s="1">
        <v>36891</v>
      </c>
      <c r="D501" t="s">
        <v>10</v>
      </c>
      <c r="E501">
        <v>910706690107</v>
      </c>
      <c r="F501" t="s">
        <v>1811</v>
      </c>
      <c r="G501" t="s">
        <v>1812</v>
      </c>
      <c r="H501">
        <v>8968335570</v>
      </c>
      <c r="I501" t="s">
        <v>1813</v>
      </c>
    </row>
    <row r="502" spans="1:9" ht="72">
      <c r="A502" t="s">
        <v>3454</v>
      </c>
      <c r="B502" t="s">
        <v>124</v>
      </c>
      <c r="C502" s="1">
        <v>26011</v>
      </c>
      <c r="D502" t="s">
        <v>15</v>
      </c>
      <c r="E502">
        <v>570521879</v>
      </c>
      <c r="F502" t="s">
        <v>1814</v>
      </c>
      <c r="G502" s="2" t="s">
        <v>1815</v>
      </c>
      <c r="H502">
        <v>1568910977</v>
      </c>
      <c r="I502" t="s">
        <v>1816</v>
      </c>
    </row>
    <row r="503" spans="1:9">
      <c r="A503" t="s">
        <v>3551</v>
      </c>
      <c r="B503" t="s">
        <v>792</v>
      </c>
      <c r="C503" s="1">
        <v>24463</v>
      </c>
      <c r="D503" t="s">
        <v>28</v>
      </c>
      <c r="E503">
        <v>6844679403</v>
      </c>
      <c r="F503" t="s">
        <v>1817</v>
      </c>
      <c r="G503" t="s">
        <v>1818</v>
      </c>
      <c r="H503">
        <v>2927318683</v>
      </c>
      <c r="I503" t="s">
        <v>1819</v>
      </c>
    </row>
    <row r="504" spans="1:9" ht="72">
      <c r="A504" t="s">
        <v>3458</v>
      </c>
      <c r="B504" t="s">
        <v>576</v>
      </c>
      <c r="C504" s="1">
        <v>21895</v>
      </c>
      <c r="D504" t="s">
        <v>15</v>
      </c>
      <c r="E504">
        <v>913241651854</v>
      </c>
      <c r="F504" t="s">
        <v>1820</v>
      </c>
      <c r="G504" s="2" t="s">
        <v>1821</v>
      </c>
      <c r="H504">
        <v>1617050221</v>
      </c>
      <c r="I504" t="s">
        <v>1822</v>
      </c>
    </row>
    <row r="505" spans="1:9" ht="72">
      <c r="A505" t="s">
        <v>3501</v>
      </c>
      <c r="B505" t="s">
        <v>1823</v>
      </c>
      <c r="C505" s="1">
        <v>36796</v>
      </c>
      <c r="D505" t="s">
        <v>28</v>
      </c>
      <c r="E505">
        <v>4760948377</v>
      </c>
      <c r="F505" t="s">
        <v>1824</v>
      </c>
      <c r="G505" s="2" t="s">
        <v>1825</v>
      </c>
      <c r="H505">
        <v>8366771966</v>
      </c>
      <c r="I505" t="s">
        <v>1826</v>
      </c>
    </row>
    <row r="506" spans="1:9">
      <c r="A506" t="s">
        <v>3594</v>
      </c>
      <c r="B506" t="s">
        <v>1827</v>
      </c>
      <c r="C506" s="1">
        <v>37992</v>
      </c>
      <c r="D506" t="s">
        <v>15</v>
      </c>
      <c r="E506">
        <v>912223499801</v>
      </c>
      <c r="F506" t="s">
        <v>1828</v>
      </c>
      <c r="G506" t="s">
        <v>1829</v>
      </c>
      <c r="H506">
        <v>2335174656</v>
      </c>
      <c r="I506" t="s">
        <v>1830</v>
      </c>
    </row>
    <row r="507" spans="1:9" ht="72">
      <c r="A507" t="s">
        <v>3508</v>
      </c>
      <c r="B507" t="s">
        <v>778</v>
      </c>
      <c r="C507" s="1">
        <v>27262</v>
      </c>
      <c r="D507" t="s">
        <v>15</v>
      </c>
      <c r="E507">
        <v>911995695592</v>
      </c>
      <c r="F507" t="s">
        <v>1831</v>
      </c>
      <c r="G507" s="2" t="s">
        <v>1832</v>
      </c>
      <c r="H507">
        <v>6722883904</v>
      </c>
      <c r="I507" t="s">
        <v>1833</v>
      </c>
    </row>
    <row r="508" spans="1:9" ht="72">
      <c r="A508" t="s">
        <v>3473</v>
      </c>
      <c r="B508" t="s">
        <v>1310</v>
      </c>
      <c r="C508" s="1">
        <v>19907</v>
      </c>
      <c r="D508" t="s">
        <v>28</v>
      </c>
      <c r="E508">
        <v>7493251149</v>
      </c>
      <c r="F508" t="s">
        <v>1834</v>
      </c>
      <c r="G508" s="2" t="s">
        <v>1835</v>
      </c>
      <c r="H508">
        <v>5800187314</v>
      </c>
      <c r="I508" t="s">
        <v>1836</v>
      </c>
    </row>
    <row r="509" spans="1:9">
      <c r="A509" t="s">
        <v>3580</v>
      </c>
      <c r="B509" t="s">
        <v>345</v>
      </c>
      <c r="C509" s="1">
        <v>28081</v>
      </c>
      <c r="D509" t="s">
        <v>28</v>
      </c>
      <c r="E509">
        <v>911078187109</v>
      </c>
      <c r="F509" t="s">
        <v>1837</v>
      </c>
      <c r="G509" t="s">
        <v>1838</v>
      </c>
      <c r="H509">
        <v>600230286</v>
      </c>
      <c r="I509" t="s">
        <v>1839</v>
      </c>
    </row>
    <row r="510" spans="1:9" ht="86.4">
      <c r="A510" t="s">
        <v>3516</v>
      </c>
      <c r="B510" t="s">
        <v>152</v>
      </c>
      <c r="C510" s="1">
        <v>37419</v>
      </c>
      <c r="D510" t="s">
        <v>28</v>
      </c>
      <c r="E510">
        <v>910667015145</v>
      </c>
      <c r="F510" t="s">
        <v>1840</v>
      </c>
      <c r="G510" s="2" t="s">
        <v>1841</v>
      </c>
      <c r="H510">
        <v>190113484</v>
      </c>
      <c r="I510" t="s">
        <v>1842</v>
      </c>
    </row>
    <row r="511" spans="1:9" ht="86.4">
      <c r="A511" t="s">
        <v>3511</v>
      </c>
      <c r="B511" t="s">
        <v>356</v>
      </c>
      <c r="C511" s="1">
        <v>27242</v>
      </c>
      <c r="D511" t="s">
        <v>15</v>
      </c>
      <c r="E511">
        <v>913239456452</v>
      </c>
      <c r="F511" t="s">
        <v>1843</v>
      </c>
      <c r="G511" s="2" t="s">
        <v>1844</v>
      </c>
      <c r="H511">
        <v>7734985297</v>
      </c>
      <c r="I511" t="s">
        <v>1845</v>
      </c>
    </row>
    <row r="512" spans="1:9" ht="72">
      <c r="A512" t="s">
        <v>3522</v>
      </c>
      <c r="B512" t="s">
        <v>704</v>
      </c>
      <c r="C512" s="1">
        <v>26091</v>
      </c>
      <c r="D512" t="s">
        <v>15</v>
      </c>
      <c r="E512">
        <v>1476253809</v>
      </c>
      <c r="F512" t="s">
        <v>1846</v>
      </c>
      <c r="G512" s="2" t="s">
        <v>1847</v>
      </c>
      <c r="H512">
        <v>8962985324</v>
      </c>
      <c r="I512" t="s">
        <v>1848</v>
      </c>
    </row>
    <row r="513" spans="1:9" ht="86.4">
      <c r="A513" t="s">
        <v>3491</v>
      </c>
      <c r="B513" t="s">
        <v>677</v>
      </c>
      <c r="C513" s="1">
        <v>33757</v>
      </c>
      <c r="D513" t="s">
        <v>15</v>
      </c>
      <c r="E513">
        <v>6383543468</v>
      </c>
      <c r="F513" t="s">
        <v>1849</v>
      </c>
      <c r="G513" s="2" t="s">
        <v>1850</v>
      </c>
      <c r="H513">
        <v>5381168371</v>
      </c>
      <c r="I513" t="s">
        <v>1851</v>
      </c>
    </row>
    <row r="514" spans="1:9" ht="72">
      <c r="A514" t="s">
        <v>3595</v>
      </c>
      <c r="B514" t="s">
        <v>88</v>
      </c>
      <c r="C514" s="1">
        <v>35005</v>
      </c>
      <c r="D514" t="s">
        <v>10</v>
      </c>
      <c r="E514">
        <v>910148967808</v>
      </c>
      <c r="F514" t="s">
        <v>1852</v>
      </c>
      <c r="G514" s="2" t="s">
        <v>1853</v>
      </c>
      <c r="H514">
        <v>3391729940</v>
      </c>
      <c r="I514" t="s">
        <v>1854</v>
      </c>
    </row>
    <row r="515" spans="1:9" ht="57.6">
      <c r="A515" t="s">
        <v>3511</v>
      </c>
      <c r="B515" t="s">
        <v>576</v>
      </c>
      <c r="C515" s="1">
        <v>28107</v>
      </c>
      <c r="D515" t="s">
        <v>15</v>
      </c>
      <c r="E515">
        <v>6497196706</v>
      </c>
      <c r="F515" t="s">
        <v>1855</v>
      </c>
      <c r="G515" s="2" t="s">
        <v>1856</v>
      </c>
      <c r="H515">
        <v>4437673481</v>
      </c>
      <c r="I515" t="s">
        <v>1857</v>
      </c>
    </row>
    <row r="516" spans="1:9">
      <c r="A516" t="s">
        <v>3595</v>
      </c>
      <c r="B516" t="s">
        <v>770</v>
      </c>
      <c r="C516" s="1">
        <v>28618</v>
      </c>
      <c r="D516" t="s">
        <v>28</v>
      </c>
      <c r="E516">
        <v>9301481160</v>
      </c>
      <c r="F516" t="s">
        <v>1858</v>
      </c>
      <c r="G516" t="s">
        <v>1859</v>
      </c>
      <c r="H516">
        <v>3421348548</v>
      </c>
      <c r="I516" t="s">
        <v>1860</v>
      </c>
    </row>
    <row r="517" spans="1:9">
      <c r="A517" t="s">
        <v>3542</v>
      </c>
      <c r="B517" t="s">
        <v>1280</v>
      </c>
      <c r="C517" s="1">
        <v>31881</v>
      </c>
      <c r="D517" t="s">
        <v>28</v>
      </c>
      <c r="E517">
        <v>1791386015</v>
      </c>
      <c r="F517" t="s">
        <v>1861</v>
      </c>
      <c r="G517" t="s">
        <v>1862</v>
      </c>
      <c r="H517">
        <v>4112874527</v>
      </c>
      <c r="I517" t="s">
        <v>1863</v>
      </c>
    </row>
    <row r="518" spans="1:9" ht="72">
      <c r="A518" t="s">
        <v>3577</v>
      </c>
      <c r="B518" t="s">
        <v>892</v>
      </c>
      <c r="C518" s="1">
        <v>28482</v>
      </c>
      <c r="D518" t="s">
        <v>28</v>
      </c>
      <c r="E518">
        <v>919138107491</v>
      </c>
      <c r="F518" t="s">
        <v>1864</v>
      </c>
      <c r="G518" s="2" t="s">
        <v>1865</v>
      </c>
      <c r="H518">
        <v>2616845525</v>
      </c>
      <c r="I518" t="s">
        <v>1866</v>
      </c>
    </row>
    <row r="519" spans="1:9" ht="72">
      <c r="A519" t="s">
        <v>3591</v>
      </c>
      <c r="B519" t="s">
        <v>1867</v>
      </c>
      <c r="C519" s="1">
        <v>37927</v>
      </c>
      <c r="D519" t="s">
        <v>15</v>
      </c>
      <c r="E519">
        <v>917989948856</v>
      </c>
      <c r="F519" t="s">
        <v>1868</v>
      </c>
      <c r="G519" s="2" t="s">
        <v>1869</v>
      </c>
      <c r="H519">
        <v>2717266256</v>
      </c>
      <c r="I519" t="s">
        <v>1870</v>
      </c>
    </row>
    <row r="520" spans="1:9" ht="72">
      <c r="A520" t="s">
        <v>3549</v>
      </c>
      <c r="B520" t="s">
        <v>1707</v>
      </c>
      <c r="C520" s="1">
        <v>34080</v>
      </c>
      <c r="D520" t="s">
        <v>28</v>
      </c>
      <c r="E520">
        <v>1306862408</v>
      </c>
      <c r="F520" t="s">
        <v>1871</v>
      </c>
      <c r="G520" s="2" t="s">
        <v>1872</v>
      </c>
      <c r="H520">
        <v>5223282228</v>
      </c>
      <c r="I520" t="s">
        <v>1873</v>
      </c>
    </row>
    <row r="521" spans="1:9">
      <c r="A521" t="s">
        <v>3496</v>
      </c>
      <c r="B521" t="s">
        <v>437</v>
      </c>
      <c r="C521" s="1">
        <v>32889</v>
      </c>
      <c r="D521" t="s">
        <v>28</v>
      </c>
      <c r="E521">
        <v>9400410847</v>
      </c>
      <c r="F521" t="s">
        <v>1874</v>
      </c>
      <c r="G521" t="s">
        <v>1875</v>
      </c>
      <c r="H521">
        <v>8097830280</v>
      </c>
      <c r="I521" t="s">
        <v>1876</v>
      </c>
    </row>
    <row r="522" spans="1:9" ht="72">
      <c r="A522" t="s">
        <v>3458</v>
      </c>
      <c r="B522" t="s">
        <v>872</v>
      </c>
      <c r="C522" s="1">
        <v>33069</v>
      </c>
      <c r="D522" t="s">
        <v>10</v>
      </c>
      <c r="E522">
        <v>2814478674</v>
      </c>
      <c r="F522" t="s">
        <v>1877</v>
      </c>
      <c r="G522" s="2" t="s">
        <v>1878</v>
      </c>
      <c r="H522">
        <v>9743699055</v>
      </c>
      <c r="I522" t="s">
        <v>1879</v>
      </c>
    </row>
    <row r="523" spans="1:9">
      <c r="A523" t="s">
        <v>3542</v>
      </c>
      <c r="B523" t="s">
        <v>1880</v>
      </c>
      <c r="C523" s="1">
        <v>18345</v>
      </c>
      <c r="D523" t="s">
        <v>10</v>
      </c>
      <c r="E523">
        <v>4290696904</v>
      </c>
      <c r="F523" t="s">
        <v>1881</v>
      </c>
      <c r="G523" t="s">
        <v>1882</v>
      </c>
      <c r="H523">
        <v>1652761368</v>
      </c>
      <c r="I523" t="s">
        <v>1883</v>
      </c>
    </row>
    <row r="524" spans="1:9" ht="72">
      <c r="A524" t="s">
        <v>3596</v>
      </c>
      <c r="B524" t="s">
        <v>1884</v>
      </c>
      <c r="C524" s="1">
        <v>24795</v>
      </c>
      <c r="D524" t="s">
        <v>28</v>
      </c>
      <c r="E524">
        <v>917699296444</v>
      </c>
      <c r="F524" t="s">
        <v>1885</v>
      </c>
      <c r="G524" s="2" t="s">
        <v>1886</v>
      </c>
      <c r="H524">
        <v>5369158557</v>
      </c>
      <c r="I524" t="s">
        <v>1887</v>
      </c>
    </row>
    <row r="525" spans="1:9" ht="86.4">
      <c r="A525" t="s">
        <v>3582</v>
      </c>
      <c r="B525" t="s">
        <v>1453</v>
      </c>
      <c r="C525" s="1">
        <v>24725</v>
      </c>
      <c r="D525" t="s">
        <v>10</v>
      </c>
      <c r="E525">
        <v>915703332959</v>
      </c>
      <c r="F525" t="s">
        <v>1888</v>
      </c>
      <c r="G525" s="2" t="s">
        <v>1889</v>
      </c>
      <c r="H525">
        <v>7429220416</v>
      </c>
      <c r="I525" t="s">
        <v>1890</v>
      </c>
    </row>
    <row r="526" spans="1:9" ht="86.4">
      <c r="A526" t="s">
        <v>3485</v>
      </c>
      <c r="B526" t="s">
        <v>1508</v>
      </c>
      <c r="C526" s="1">
        <v>32842</v>
      </c>
      <c r="D526" t="s">
        <v>10</v>
      </c>
      <c r="E526">
        <v>917063250313</v>
      </c>
      <c r="F526" t="s">
        <v>1891</v>
      </c>
      <c r="G526" s="2" t="s">
        <v>1892</v>
      </c>
      <c r="H526">
        <v>9000029561</v>
      </c>
      <c r="I526" t="s">
        <v>1893</v>
      </c>
    </row>
    <row r="527" spans="1:9" ht="86.4">
      <c r="A527" t="s">
        <v>3505</v>
      </c>
      <c r="B527" t="s">
        <v>1894</v>
      </c>
      <c r="C527" s="1">
        <v>19417</v>
      </c>
      <c r="D527" t="s">
        <v>28</v>
      </c>
      <c r="E527">
        <v>5594079923</v>
      </c>
      <c r="F527" t="s">
        <v>1895</v>
      </c>
      <c r="G527" s="2" t="s">
        <v>1896</v>
      </c>
      <c r="H527">
        <v>4539117766</v>
      </c>
      <c r="I527" t="s">
        <v>1897</v>
      </c>
    </row>
    <row r="528" spans="1:9" ht="86.4">
      <c r="A528" t="s">
        <v>3466</v>
      </c>
      <c r="B528" t="s">
        <v>1371</v>
      </c>
      <c r="C528" s="1">
        <v>20934</v>
      </c>
      <c r="D528" t="s">
        <v>15</v>
      </c>
      <c r="E528">
        <v>919281578061</v>
      </c>
      <c r="F528" t="s">
        <v>1898</v>
      </c>
      <c r="G528" s="2" t="s">
        <v>1899</v>
      </c>
      <c r="H528">
        <v>2126848563</v>
      </c>
      <c r="I528" t="s">
        <v>1900</v>
      </c>
    </row>
    <row r="529" spans="1:9">
      <c r="A529" t="s">
        <v>3555</v>
      </c>
      <c r="B529" t="s">
        <v>1432</v>
      </c>
      <c r="C529" s="1">
        <v>36380</v>
      </c>
      <c r="D529" t="s">
        <v>15</v>
      </c>
      <c r="E529">
        <v>917539892313</v>
      </c>
      <c r="F529" t="s">
        <v>1901</v>
      </c>
      <c r="G529" t="s">
        <v>1902</v>
      </c>
      <c r="H529">
        <v>2011406526</v>
      </c>
      <c r="I529" t="s">
        <v>1903</v>
      </c>
    </row>
    <row r="530" spans="1:9" ht="86.4">
      <c r="A530" t="s">
        <v>3529</v>
      </c>
      <c r="B530" t="s">
        <v>448</v>
      </c>
      <c r="C530" s="1">
        <v>29952</v>
      </c>
      <c r="D530" t="s">
        <v>28</v>
      </c>
      <c r="E530">
        <v>914553375656</v>
      </c>
      <c r="F530" t="s">
        <v>1904</v>
      </c>
      <c r="G530" s="2" t="s">
        <v>1905</v>
      </c>
      <c r="H530">
        <v>9296568512</v>
      </c>
      <c r="I530" t="s">
        <v>1906</v>
      </c>
    </row>
    <row r="531" spans="1:9" ht="57.6">
      <c r="A531" t="s">
        <v>3553</v>
      </c>
      <c r="B531" t="s">
        <v>601</v>
      </c>
      <c r="C531" s="1">
        <v>25770</v>
      </c>
      <c r="D531" t="s">
        <v>15</v>
      </c>
      <c r="E531">
        <v>979344212</v>
      </c>
      <c r="F531" t="s">
        <v>1907</v>
      </c>
      <c r="G531" s="2" t="s">
        <v>1908</v>
      </c>
      <c r="H531">
        <v>3982147823</v>
      </c>
      <c r="I531" t="s">
        <v>1909</v>
      </c>
    </row>
    <row r="532" spans="1:9" ht="86.4">
      <c r="A532" t="s">
        <v>3452</v>
      </c>
      <c r="B532" t="s">
        <v>504</v>
      </c>
      <c r="C532" s="1">
        <v>27637</v>
      </c>
      <c r="D532" t="s">
        <v>10</v>
      </c>
      <c r="E532">
        <v>6706363286</v>
      </c>
      <c r="F532" t="s">
        <v>1910</v>
      </c>
      <c r="G532" s="2" t="s">
        <v>1911</v>
      </c>
      <c r="H532">
        <v>8967136054</v>
      </c>
      <c r="I532" t="s">
        <v>1912</v>
      </c>
    </row>
    <row r="533" spans="1:9" ht="72">
      <c r="A533" t="s">
        <v>3594</v>
      </c>
      <c r="B533" t="s">
        <v>1913</v>
      </c>
      <c r="C533" s="1">
        <v>35603</v>
      </c>
      <c r="D533" t="s">
        <v>28</v>
      </c>
      <c r="E533">
        <v>911324951935</v>
      </c>
      <c r="F533" t="s">
        <v>1914</v>
      </c>
      <c r="G533" s="2" t="s">
        <v>1915</v>
      </c>
      <c r="H533">
        <v>1566851353</v>
      </c>
      <c r="I533" t="s">
        <v>1916</v>
      </c>
    </row>
    <row r="534" spans="1:9">
      <c r="A534" t="s">
        <v>3483</v>
      </c>
      <c r="B534" t="s">
        <v>973</v>
      </c>
      <c r="C534" s="1">
        <v>30395</v>
      </c>
      <c r="D534" t="s">
        <v>15</v>
      </c>
      <c r="E534">
        <v>913090168564</v>
      </c>
      <c r="F534" t="s">
        <v>1917</v>
      </c>
      <c r="G534" t="s">
        <v>1918</v>
      </c>
      <c r="H534">
        <v>8668611997</v>
      </c>
      <c r="I534" t="s">
        <v>1919</v>
      </c>
    </row>
    <row r="535" spans="1:9" ht="86.4">
      <c r="A535" t="s">
        <v>3494</v>
      </c>
      <c r="B535" t="s">
        <v>1920</v>
      </c>
      <c r="C535" s="1">
        <v>28112</v>
      </c>
      <c r="D535" t="s">
        <v>15</v>
      </c>
      <c r="E535">
        <v>917050583534</v>
      </c>
      <c r="F535" t="s">
        <v>1921</v>
      </c>
      <c r="G535" s="2" t="s">
        <v>1922</v>
      </c>
      <c r="H535">
        <v>5801584668</v>
      </c>
      <c r="I535" t="s">
        <v>1923</v>
      </c>
    </row>
    <row r="536" spans="1:9" ht="72">
      <c r="A536" t="s">
        <v>3524</v>
      </c>
      <c r="B536" t="s">
        <v>1152</v>
      </c>
      <c r="C536" s="1">
        <v>22910</v>
      </c>
      <c r="D536" t="s">
        <v>10</v>
      </c>
      <c r="E536">
        <v>917276698345</v>
      </c>
      <c r="F536" t="s">
        <v>1924</v>
      </c>
      <c r="G536" s="2" t="s">
        <v>1925</v>
      </c>
      <c r="H536">
        <v>3827777118</v>
      </c>
      <c r="I536" t="s">
        <v>1926</v>
      </c>
    </row>
    <row r="537" spans="1:9" ht="72">
      <c r="A537" t="s">
        <v>3502</v>
      </c>
      <c r="B537" t="s">
        <v>508</v>
      </c>
      <c r="C537" s="1">
        <v>17854</v>
      </c>
      <c r="D537" t="s">
        <v>28</v>
      </c>
      <c r="E537">
        <v>71210242</v>
      </c>
      <c r="F537" t="s">
        <v>1927</v>
      </c>
      <c r="G537" s="2" t="s">
        <v>1928</v>
      </c>
      <c r="H537">
        <v>7640996833</v>
      </c>
      <c r="I537" t="s">
        <v>1929</v>
      </c>
    </row>
    <row r="538" spans="1:9">
      <c r="A538" t="s">
        <v>3518</v>
      </c>
      <c r="B538" t="s">
        <v>1643</v>
      </c>
      <c r="C538" s="1">
        <v>34590</v>
      </c>
      <c r="D538" t="s">
        <v>28</v>
      </c>
      <c r="E538">
        <v>5379322191</v>
      </c>
      <c r="F538" t="s">
        <v>1930</v>
      </c>
      <c r="G538" t="s">
        <v>1931</v>
      </c>
      <c r="H538">
        <v>1016260080</v>
      </c>
      <c r="I538" t="s">
        <v>1932</v>
      </c>
    </row>
    <row r="539" spans="1:9" ht="72">
      <c r="A539" t="s">
        <v>3500</v>
      </c>
      <c r="B539" t="s">
        <v>1079</v>
      </c>
      <c r="C539" s="1">
        <v>32687</v>
      </c>
      <c r="D539" t="s">
        <v>10</v>
      </c>
      <c r="E539">
        <v>8335488357</v>
      </c>
      <c r="F539" t="s">
        <v>1933</v>
      </c>
      <c r="G539" s="2" t="s">
        <v>1934</v>
      </c>
      <c r="H539">
        <v>5282468549</v>
      </c>
      <c r="I539" t="s">
        <v>1935</v>
      </c>
    </row>
    <row r="540" spans="1:9" ht="86.4">
      <c r="A540" t="s">
        <v>3507</v>
      </c>
      <c r="B540" t="s">
        <v>561</v>
      </c>
      <c r="C540" s="1">
        <v>34177</v>
      </c>
      <c r="D540" t="s">
        <v>28</v>
      </c>
      <c r="E540">
        <v>910860146051</v>
      </c>
      <c r="F540" t="s">
        <v>1936</v>
      </c>
      <c r="G540" s="2" t="s">
        <v>1937</v>
      </c>
      <c r="H540">
        <v>9931878104</v>
      </c>
      <c r="I540" t="s">
        <v>1938</v>
      </c>
    </row>
    <row r="541" spans="1:9">
      <c r="A541" t="s">
        <v>3452</v>
      </c>
      <c r="B541" t="s">
        <v>1445</v>
      </c>
      <c r="C541" s="1">
        <v>31342</v>
      </c>
      <c r="D541" t="s">
        <v>28</v>
      </c>
      <c r="E541">
        <v>2909304376</v>
      </c>
      <c r="F541" t="s">
        <v>1939</v>
      </c>
      <c r="G541" t="s">
        <v>1940</v>
      </c>
      <c r="H541">
        <v>531105833</v>
      </c>
      <c r="I541" t="s">
        <v>1941</v>
      </c>
    </row>
    <row r="542" spans="1:9" ht="72">
      <c r="A542" t="s">
        <v>3597</v>
      </c>
      <c r="B542" t="s">
        <v>264</v>
      </c>
      <c r="C542" s="1">
        <v>20179</v>
      </c>
      <c r="D542" t="s">
        <v>10</v>
      </c>
      <c r="E542">
        <v>9142693765</v>
      </c>
      <c r="F542" t="s">
        <v>1942</v>
      </c>
      <c r="G542" s="2" t="s">
        <v>1943</v>
      </c>
      <c r="H542">
        <v>6276292266</v>
      </c>
      <c r="I542" t="s">
        <v>1944</v>
      </c>
    </row>
    <row r="543" spans="1:9" ht="86.4">
      <c r="A543" t="s">
        <v>3592</v>
      </c>
      <c r="B543" t="s">
        <v>1945</v>
      </c>
      <c r="C543" s="1">
        <v>27696</v>
      </c>
      <c r="D543" t="s">
        <v>10</v>
      </c>
      <c r="E543">
        <v>916522898907</v>
      </c>
      <c r="F543" t="s">
        <v>1946</v>
      </c>
      <c r="G543" s="2" t="s">
        <v>1947</v>
      </c>
      <c r="H543">
        <v>8385805014</v>
      </c>
      <c r="I543" t="s">
        <v>1948</v>
      </c>
    </row>
    <row r="544" spans="1:9">
      <c r="A544" t="s">
        <v>3537</v>
      </c>
      <c r="B544" t="s">
        <v>14</v>
      </c>
      <c r="C544" s="1">
        <v>38281</v>
      </c>
      <c r="D544" t="s">
        <v>15</v>
      </c>
      <c r="E544">
        <v>919565188711</v>
      </c>
      <c r="F544" t="s">
        <v>1949</v>
      </c>
      <c r="G544" t="s">
        <v>1950</v>
      </c>
      <c r="H544">
        <v>293011250</v>
      </c>
      <c r="I544" t="s">
        <v>1951</v>
      </c>
    </row>
    <row r="545" spans="1:9" ht="72">
      <c r="A545" t="s">
        <v>3596</v>
      </c>
      <c r="B545" t="s">
        <v>1952</v>
      </c>
      <c r="C545" s="1">
        <v>34270</v>
      </c>
      <c r="D545" t="s">
        <v>28</v>
      </c>
      <c r="E545">
        <v>9522233693</v>
      </c>
      <c r="F545" t="s">
        <v>1953</v>
      </c>
      <c r="G545" s="2" t="s">
        <v>1954</v>
      </c>
      <c r="H545">
        <v>7144695674</v>
      </c>
      <c r="I545" t="s">
        <v>1955</v>
      </c>
    </row>
    <row r="546" spans="1:9">
      <c r="A546" t="s">
        <v>3510</v>
      </c>
      <c r="B546" t="s">
        <v>1065</v>
      </c>
      <c r="C546" s="1">
        <v>23267</v>
      </c>
      <c r="D546" t="s">
        <v>10</v>
      </c>
      <c r="E546">
        <v>5146688658</v>
      </c>
      <c r="F546" t="s">
        <v>1956</v>
      </c>
      <c r="G546" t="s">
        <v>1957</v>
      </c>
      <c r="H546">
        <v>8708943269</v>
      </c>
      <c r="I546" t="s">
        <v>1958</v>
      </c>
    </row>
    <row r="547" spans="1:9" ht="57.6">
      <c r="A547" t="s">
        <v>3536</v>
      </c>
      <c r="B547" t="s">
        <v>629</v>
      </c>
      <c r="C547" s="1">
        <v>31138</v>
      </c>
      <c r="D547" t="s">
        <v>15</v>
      </c>
      <c r="E547">
        <v>915045050928</v>
      </c>
      <c r="F547" t="s">
        <v>1959</v>
      </c>
      <c r="G547" s="2" t="s">
        <v>1960</v>
      </c>
      <c r="H547">
        <v>5450380162</v>
      </c>
      <c r="I547" t="s">
        <v>1961</v>
      </c>
    </row>
    <row r="548" spans="1:9" ht="57.6">
      <c r="A548" t="s">
        <v>3542</v>
      </c>
      <c r="B548" t="s">
        <v>1962</v>
      </c>
      <c r="C548" s="1">
        <v>17947</v>
      </c>
      <c r="D548" t="s">
        <v>28</v>
      </c>
      <c r="E548">
        <v>5028143531</v>
      </c>
      <c r="F548" t="s">
        <v>1963</v>
      </c>
      <c r="G548" s="2" t="s">
        <v>1964</v>
      </c>
      <c r="H548">
        <v>4286625108</v>
      </c>
      <c r="I548" t="s">
        <v>1965</v>
      </c>
    </row>
    <row r="549" spans="1:9" ht="86.4">
      <c r="A549" t="s">
        <v>3598</v>
      </c>
      <c r="B549" t="s">
        <v>880</v>
      </c>
      <c r="C549" s="1">
        <v>26332</v>
      </c>
      <c r="D549" t="s">
        <v>15</v>
      </c>
      <c r="E549">
        <v>914609193511</v>
      </c>
      <c r="F549" t="s">
        <v>1966</v>
      </c>
      <c r="G549" s="2" t="s">
        <v>1967</v>
      </c>
      <c r="H549">
        <v>2157562641</v>
      </c>
      <c r="I549" t="s">
        <v>1968</v>
      </c>
    </row>
    <row r="550" spans="1:9">
      <c r="A550" t="s">
        <v>3585</v>
      </c>
      <c r="B550" t="s">
        <v>1969</v>
      </c>
      <c r="C550" s="1">
        <v>27576</v>
      </c>
      <c r="D550" t="s">
        <v>10</v>
      </c>
      <c r="E550">
        <v>910990693196</v>
      </c>
      <c r="F550" t="s">
        <v>1970</v>
      </c>
      <c r="G550" t="s">
        <v>1971</v>
      </c>
      <c r="H550">
        <v>3888048514</v>
      </c>
      <c r="I550" t="s">
        <v>1972</v>
      </c>
    </row>
    <row r="551" spans="1:9" ht="72">
      <c r="A551" t="s">
        <v>3544</v>
      </c>
      <c r="B551" t="s">
        <v>206</v>
      </c>
      <c r="C551" s="1">
        <v>34716</v>
      </c>
      <c r="D551" t="s">
        <v>28</v>
      </c>
      <c r="E551">
        <v>918231342755</v>
      </c>
      <c r="F551" t="s">
        <v>1973</v>
      </c>
      <c r="G551" s="2" t="s">
        <v>1974</v>
      </c>
      <c r="H551">
        <v>1029771150</v>
      </c>
      <c r="I551" t="s">
        <v>1975</v>
      </c>
    </row>
    <row r="552" spans="1:9" ht="57.6">
      <c r="A552" t="s">
        <v>3481</v>
      </c>
      <c r="B552" t="s">
        <v>1314</v>
      </c>
      <c r="C552" s="1">
        <v>37932</v>
      </c>
      <c r="D552" t="s">
        <v>15</v>
      </c>
      <c r="E552">
        <v>917328162910</v>
      </c>
      <c r="F552" t="s">
        <v>1976</v>
      </c>
      <c r="G552" s="2" t="s">
        <v>1977</v>
      </c>
      <c r="H552">
        <v>8770745991</v>
      </c>
      <c r="I552" t="s">
        <v>1978</v>
      </c>
    </row>
    <row r="553" spans="1:9" ht="86.4">
      <c r="A553" t="s">
        <v>3515</v>
      </c>
      <c r="B553" t="s">
        <v>1194</v>
      </c>
      <c r="C553" s="1">
        <v>21081</v>
      </c>
      <c r="D553" t="s">
        <v>10</v>
      </c>
      <c r="E553">
        <v>6838789034</v>
      </c>
      <c r="F553" t="s">
        <v>1979</v>
      </c>
      <c r="G553" s="2" t="s">
        <v>1980</v>
      </c>
      <c r="H553">
        <v>8236881013</v>
      </c>
      <c r="I553" t="s">
        <v>1981</v>
      </c>
    </row>
    <row r="554" spans="1:9" ht="86.4">
      <c r="A554" t="s">
        <v>3548</v>
      </c>
      <c r="B554" t="s">
        <v>663</v>
      </c>
      <c r="C554" s="1">
        <v>24806</v>
      </c>
      <c r="D554" t="s">
        <v>10</v>
      </c>
      <c r="E554">
        <v>184220138</v>
      </c>
      <c r="F554" t="s">
        <v>1982</v>
      </c>
      <c r="G554" s="2" t="s">
        <v>1983</v>
      </c>
      <c r="H554">
        <v>4767200052</v>
      </c>
      <c r="I554" t="s">
        <v>1984</v>
      </c>
    </row>
    <row r="555" spans="1:9" ht="72">
      <c r="A555" t="s">
        <v>3442</v>
      </c>
      <c r="B555" t="s">
        <v>214</v>
      </c>
      <c r="C555" s="1">
        <v>31761</v>
      </c>
      <c r="D555" t="s">
        <v>10</v>
      </c>
      <c r="E555">
        <v>895123708</v>
      </c>
      <c r="F555" t="s">
        <v>1985</v>
      </c>
      <c r="G555" s="2" t="s">
        <v>1986</v>
      </c>
      <c r="H555">
        <v>7671377188</v>
      </c>
      <c r="I555" t="s">
        <v>1987</v>
      </c>
    </row>
    <row r="556" spans="1:9" ht="72">
      <c r="A556" t="s">
        <v>3473</v>
      </c>
      <c r="B556" t="s">
        <v>1952</v>
      </c>
      <c r="C556" s="1">
        <v>36839</v>
      </c>
      <c r="D556" t="s">
        <v>10</v>
      </c>
      <c r="E556">
        <v>7830557371</v>
      </c>
      <c r="F556" t="s">
        <v>1988</v>
      </c>
      <c r="G556" s="2" t="s">
        <v>1989</v>
      </c>
      <c r="H556">
        <v>6142152483</v>
      </c>
      <c r="I556" t="s">
        <v>1990</v>
      </c>
    </row>
    <row r="557" spans="1:9" ht="72">
      <c r="A557" t="s">
        <v>3521</v>
      </c>
      <c r="B557" t="s">
        <v>1236</v>
      </c>
      <c r="C557" s="1">
        <v>38748</v>
      </c>
      <c r="D557" t="s">
        <v>10</v>
      </c>
      <c r="E557">
        <v>6568969870</v>
      </c>
      <c r="F557" t="s">
        <v>1991</v>
      </c>
      <c r="G557" s="2" t="s">
        <v>1992</v>
      </c>
      <c r="H557">
        <v>3410406291</v>
      </c>
      <c r="I557" t="s">
        <v>1993</v>
      </c>
    </row>
    <row r="558" spans="1:9">
      <c r="A558" t="s">
        <v>3587</v>
      </c>
      <c r="B558" t="s">
        <v>553</v>
      </c>
      <c r="C558" s="1">
        <v>22613</v>
      </c>
      <c r="D558" t="s">
        <v>10</v>
      </c>
      <c r="E558">
        <v>911817960757</v>
      </c>
      <c r="F558" t="s">
        <v>1994</v>
      </c>
      <c r="G558" t="s">
        <v>1995</v>
      </c>
      <c r="H558">
        <v>1898106173</v>
      </c>
      <c r="I558" t="s">
        <v>1996</v>
      </c>
    </row>
    <row r="559" spans="1:9" ht="72">
      <c r="A559" t="s">
        <v>3453</v>
      </c>
      <c r="B559" t="s">
        <v>164</v>
      </c>
      <c r="C559" s="1">
        <v>38526</v>
      </c>
      <c r="D559" t="s">
        <v>10</v>
      </c>
      <c r="E559">
        <v>7261694963</v>
      </c>
      <c r="F559" t="s">
        <v>1997</v>
      </c>
      <c r="G559" s="2" t="s">
        <v>1998</v>
      </c>
      <c r="H559">
        <v>3613179854</v>
      </c>
      <c r="I559" t="s">
        <v>1999</v>
      </c>
    </row>
    <row r="560" spans="1:9" ht="86.4">
      <c r="A560" t="s">
        <v>3436</v>
      </c>
      <c r="B560" t="s">
        <v>1453</v>
      </c>
      <c r="C560" s="1">
        <v>32774</v>
      </c>
      <c r="D560" t="s">
        <v>15</v>
      </c>
      <c r="E560">
        <v>4585835639</v>
      </c>
      <c r="F560" t="s">
        <v>2000</v>
      </c>
      <c r="G560" s="2" t="s">
        <v>2001</v>
      </c>
      <c r="H560">
        <v>2123601863</v>
      </c>
      <c r="I560" t="s">
        <v>2002</v>
      </c>
    </row>
    <row r="561" spans="1:9" ht="72">
      <c r="A561" t="s">
        <v>3487</v>
      </c>
      <c r="B561" t="s">
        <v>851</v>
      </c>
      <c r="C561" s="1">
        <v>25739</v>
      </c>
      <c r="D561" t="s">
        <v>28</v>
      </c>
      <c r="E561">
        <v>911563093079</v>
      </c>
      <c r="F561" t="s">
        <v>2003</v>
      </c>
      <c r="G561" s="2" t="s">
        <v>2004</v>
      </c>
      <c r="H561">
        <v>6681133973</v>
      </c>
      <c r="I561" t="s">
        <v>2005</v>
      </c>
    </row>
    <row r="562" spans="1:9" ht="86.4">
      <c r="A562" t="s">
        <v>3599</v>
      </c>
      <c r="B562" t="s">
        <v>1772</v>
      </c>
      <c r="C562" s="1">
        <v>25127</v>
      </c>
      <c r="D562" t="s">
        <v>28</v>
      </c>
      <c r="E562">
        <v>912422241983</v>
      </c>
      <c r="F562" t="s">
        <v>2006</v>
      </c>
      <c r="G562" s="2" t="s">
        <v>2007</v>
      </c>
      <c r="H562">
        <v>3509476511</v>
      </c>
      <c r="I562" t="s">
        <v>2008</v>
      </c>
    </row>
    <row r="563" spans="1:9" ht="72">
      <c r="A563" t="s">
        <v>3503</v>
      </c>
      <c r="B563" t="s">
        <v>617</v>
      </c>
      <c r="C563" s="1">
        <v>20388</v>
      </c>
      <c r="D563" t="s">
        <v>15</v>
      </c>
      <c r="E563">
        <v>7539891370</v>
      </c>
      <c r="F563" t="s">
        <v>2009</v>
      </c>
      <c r="G563" s="2" t="s">
        <v>2010</v>
      </c>
      <c r="H563">
        <v>2023766696</v>
      </c>
      <c r="I563" t="s">
        <v>2011</v>
      </c>
    </row>
    <row r="564" spans="1:9" ht="86.4">
      <c r="A564" t="s">
        <v>3539</v>
      </c>
      <c r="B564" t="s">
        <v>2012</v>
      </c>
      <c r="C564" s="1">
        <v>24041</v>
      </c>
      <c r="D564" t="s">
        <v>10</v>
      </c>
      <c r="E564">
        <v>911839093424</v>
      </c>
      <c r="F564" t="s">
        <v>2013</v>
      </c>
      <c r="G564" s="2" t="s">
        <v>2014</v>
      </c>
      <c r="H564">
        <v>6940865424</v>
      </c>
      <c r="I564" t="s">
        <v>2015</v>
      </c>
    </row>
    <row r="565" spans="1:9" ht="72">
      <c r="A565" t="s">
        <v>3596</v>
      </c>
      <c r="B565" t="s">
        <v>2016</v>
      </c>
      <c r="C565" s="1">
        <v>24512</v>
      </c>
      <c r="D565" t="s">
        <v>28</v>
      </c>
      <c r="E565">
        <v>915095288959</v>
      </c>
      <c r="F565" t="s">
        <v>2017</v>
      </c>
      <c r="G565" s="2" t="s">
        <v>2018</v>
      </c>
      <c r="H565">
        <v>8300995428</v>
      </c>
      <c r="I565" t="s">
        <v>2019</v>
      </c>
    </row>
    <row r="566" spans="1:9" ht="72">
      <c r="A566" t="s">
        <v>3447</v>
      </c>
      <c r="B566" t="s">
        <v>40</v>
      </c>
      <c r="C566" s="1">
        <v>27204</v>
      </c>
      <c r="D566" t="s">
        <v>10</v>
      </c>
      <c r="E566">
        <v>6679899470</v>
      </c>
      <c r="F566" t="s">
        <v>2020</v>
      </c>
      <c r="G566" s="2" t="s">
        <v>2021</v>
      </c>
      <c r="H566">
        <v>7566505188</v>
      </c>
      <c r="I566" t="s">
        <v>2022</v>
      </c>
    </row>
    <row r="567" spans="1:9">
      <c r="A567" t="s">
        <v>3523</v>
      </c>
      <c r="B567" t="s">
        <v>1303</v>
      </c>
      <c r="C567" s="1">
        <v>22318</v>
      </c>
      <c r="D567" t="s">
        <v>28</v>
      </c>
      <c r="E567">
        <v>914359698504</v>
      </c>
      <c r="F567" t="s">
        <v>2023</v>
      </c>
      <c r="G567" t="s">
        <v>2024</v>
      </c>
      <c r="H567">
        <v>7140250385</v>
      </c>
      <c r="I567" t="s">
        <v>2025</v>
      </c>
    </row>
    <row r="568" spans="1:9" ht="72">
      <c r="A568" t="s">
        <v>3480</v>
      </c>
      <c r="B568" t="s">
        <v>1749</v>
      </c>
      <c r="C568" s="1">
        <v>36614</v>
      </c>
      <c r="D568" t="s">
        <v>10</v>
      </c>
      <c r="E568">
        <v>918493680635</v>
      </c>
      <c r="F568" t="s">
        <v>2026</v>
      </c>
      <c r="G568" s="2" t="s">
        <v>2027</v>
      </c>
      <c r="H568">
        <v>7586703656</v>
      </c>
      <c r="I568" t="s">
        <v>2028</v>
      </c>
    </row>
    <row r="569" spans="1:9">
      <c r="A569" t="s">
        <v>3600</v>
      </c>
      <c r="B569" t="s">
        <v>792</v>
      </c>
      <c r="C569" s="1">
        <v>32619</v>
      </c>
      <c r="D569" t="s">
        <v>15</v>
      </c>
      <c r="E569">
        <v>6896331812</v>
      </c>
      <c r="F569" t="s">
        <v>2029</v>
      </c>
      <c r="G569" t="s">
        <v>2030</v>
      </c>
      <c r="H569">
        <v>8508989774</v>
      </c>
      <c r="I569" t="s">
        <v>2031</v>
      </c>
    </row>
    <row r="570" spans="1:9" ht="72">
      <c r="A570" t="s">
        <v>3513</v>
      </c>
      <c r="B570" t="s">
        <v>248</v>
      </c>
      <c r="C570" s="1">
        <v>26135</v>
      </c>
      <c r="D570" t="s">
        <v>10</v>
      </c>
      <c r="E570">
        <v>919537740376</v>
      </c>
      <c r="F570" t="s">
        <v>2032</v>
      </c>
      <c r="G570" s="2" t="s">
        <v>2033</v>
      </c>
      <c r="H570">
        <v>7330990009</v>
      </c>
      <c r="I570" t="s">
        <v>2034</v>
      </c>
    </row>
    <row r="571" spans="1:9" ht="86.4">
      <c r="A571" t="s">
        <v>3442</v>
      </c>
      <c r="B571" t="s">
        <v>1116</v>
      </c>
      <c r="C571" s="1">
        <v>25047</v>
      </c>
      <c r="D571" t="s">
        <v>28</v>
      </c>
      <c r="E571">
        <v>4538565352</v>
      </c>
      <c r="F571" t="s">
        <v>2035</v>
      </c>
      <c r="G571" s="2" t="s">
        <v>2036</v>
      </c>
      <c r="H571">
        <v>9899651181</v>
      </c>
      <c r="I571" t="s">
        <v>2037</v>
      </c>
    </row>
    <row r="572" spans="1:9" ht="57.6">
      <c r="A572" t="s">
        <v>3601</v>
      </c>
      <c r="B572" t="s">
        <v>44</v>
      </c>
      <c r="C572" s="1">
        <v>25442</v>
      </c>
      <c r="D572" t="s">
        <v>10</v>
      </c>
      <c r="E572">
        <v>7618687047</v>
      </c>
      <c r="F572" t="s">
        <v>2038</v>
      </c>
      <c r="G572" s="2" t="s">
        <v>2039</v>
      </c>
      <c r="H572">
        <v>9276405473</v>
      </c>
      <c r="I572" t="s">
        <v>2040</v>
      </c>
    </row>
    <row r="573" spans="1:9">
      <c r="A573" t="s">
        <v>3583</v>
      </c>
      <c r="B573" t="s">
        <v>2041</v>
      </c>
      <c r="C573" s="1">
        <v>20020</v>
      </c>
      <c r="D573" t="s">
        <v>28</v>
      </c>
      <c r="E573">
        <v>6604747338</v>
      </c>
      <c r="F573" t="s">
        <v>2042</v>
      </c>
      <c r="G573" t="s">
        <v>2043</v>
      </c>
      <c r="H573">
        <v>8664774131</v>
      </c>
      <c r="I573" t="s">
        <v>2044</v>
      </c>
    </row>
    <row r="574" spans="1:9" ht="86.4">
      <c r="A574" t="s">
        <v>3524</v>
      </c>
      <c r="B574" t="s">
        <v>202</v>
      </c>
      <c r="C574" s="1">
        <v>22688</v>
      </c>
      <c r="D574" t="s">
        <v>10</v>
      </c>
      <c r="E574">
        <v>6581539885</v>
      </c>
      <c r="F574" t="s">
        <v>2045</v>
      </c>
      <c r="G574" s="2" t="s">
        <v>2046</v>
      </c>
      <c r="H574">
        <v>1934891800</v>
      </c>
      <c r="I574" t="s">
        <v>2047</v>
      </c>
    </row>
    <row r="575" spans="1:9" ht="86.4">
      <c r="A575" t="s">
        <v>3470</v>
      </c>
      <c r="B575" t="s">
        <v>1095</v>
      </c>
      <c r="C575" s="1">
        <v>22128</v>
      </c>
      <c r="D575" t="s">
        <v>28</v>
      </c>
      <c r="E575">
        <v>2195973091</v>
      </c>
      <c r="F575" t="s">
        <v>2048</v>
      </c>
      <c r="G575" s="2" t="s">
        <v>2049</v>
      </c>
      <c r="H575">
        <v>304407781</v>
      </c>
      <c r="I575" t="s">
        <v>2050</v>
      </c>
    </row>
    <row r="576" spans="1:9" ht="72">
      <c r="A576" t="s">
        <v>3463</v>
      </c>
      <c r="B576" t="s">
        <v>1570</v>
      </c>
      <c r="C576" s="1">
        <v>25774</v>
      </c>
      <c r="D576" t="s">
        <v>28</v>
      </c>
      <c r="E576">
        <v>6634541829</v>
      </c>
      <c r="F576" t="s">
        <v>2051</v>
      </c>
      <c r="G576" s="2" t="s">
        <v>2052</v>
      </c>
      <c r="H576">
        <v>2168268221</v>
      </c>
      <c r="I576" t="s">
        <v>2053</v>
      </c>
    </row>
    <row r="577" spans="1:9" ht="86.4">
      <c r="A577" t="s">
        <v>3551</v>
      </c>
      <c r="B577" t="s">
        <v>1508</v>
      </c>
      <c r="C577" s="1">
        <v>21456</v>
      </c>
      <c r="D577" t="s">
        <v>28</v>
      </c>
      <c r="E577">
        <v>918347910059</v>
      </c>
      <c r="F577" t="s">
        <v>2054</v>
      </c>
      <c r="G577" s="2" t="s">
        <v>2055</v>
      </c>
      <c r="H577">
        <v>3871295145</v>
      </c>
      <c r="I577" t="s">
        <v>2056</v>
      </c>
    </row>
    <row r="578" spans="1:9">
      <c r="A578" t="s">
        <v>3576</v>
      </c>
      <c r="B578" t="s">
        <v>356</v>
      </c>
      <c r="C578" s="1">
        <v>27754</v>
      </c>
      <c r="D578" t="s">
        <v>10</v>
      </c>
      <c r="E578">
        <v>916048022406</v>
      </c>
      <c r="F578" t="s">
        <v>2057</v>
      </c>
      <c r="G578" t="s">
        <v>2058</v>
      </c>
      <c r="H578">
        <v>5623887888</v>
      </c>
      <c r="I578" t="s">
        <v>2059</v>
      </c>
    </row>
    <row r="579" spans="1:9" ht="86.4">
      <c r="A579" t="s">
        <v>3504</v>
      </c>
      <c r="B579" t="s">
        <v>2060</v>
      </c>
      <c r="C579" s="1">
        <v>34206</v>
      </c>
      <c r="D579" t="s">
        <v>28</v>
      </c>
      <c r="E579">
        <v>916229011386</v>
      </c>
      <c r="F579" t="s">
        <v>2061</v>
      </c>
      <c r="G579" s="2" t="s">
        <v>2062</v>
      </c>
      <c r="H579">
        <v>4790534728</v>
      </c>
      <c r="I579" t="s">
        <v>2063</v>
      </c>
    </row>
    <row r="580" spans="1:9">
      <c r="A580" t="s">
        <v>3509</v>
      </c>
      <c r="B580" t="s">
        <v>843</v>
      </c>
      <c r="C580" s="1">
        <v>31855</v>
      </c>
      <c r="D580" t="s">
        <v>10</v>
      </c>
      <c r="E580">
        <v>3267084886</v>
      </c>
      <c r="F580" t="s">
        <v>2064</v>
      </c>
      <c r="G580" t="s">
        <v>2065</v>
      </c>
      <c r="H580">
        <v>8856846767</v>
      </c>
      <c r="I580" t="s">
        <v>2066</v>
      </c>
    </row>
    <row r="581" spans="1:9" ht="72">
      <c r="A581" t="s">
        <v>3521</v>
      </c>
      <c r="B581" t="s">
        <v>214</v>
      </c>
      <c r="C581" s="1">
        <v>36072</v>
      </c>
      <c r="D581" t="s">
        <v>15</v>
      </c>
      <c r="E581">
        <v>9597521353</v>
      </c>
      <c r="F581" t="s">
        <v>2067</v>
      </c>
      <c r="G581" s="2" t="s">
        <v>2068</v>
      </c>
      <c r="H581">
        <v>9976453496</v>
      </c>
      <c r="I581" t="s">
        <v>2069</v>
      </c>
    </row>
    <row r="582" spans="1:9" ht="86.4">
      <c r="A582" t="s">
        <v>3570</v>
      </c>
      <c r="B582" t="s">
        <v>2070</v>
      </c>
      <c r="C582" s="1">
        <v>28778</v>
      </c>
      <c r="D582" t="s">
        <v>15</v>
      </c>
      <c r="E582">
        <v>9630093582</v>
      </c>
      <c r="F582" t="s">
        <v>2071</v>
      </c>
      <c r="G582" s="2" t="s">
        <v>2072</v>
      </c>
      <c r="H582">
        <v>8460180403</v>
      </c>
      <c r="I582" t="s">
        <v>2073</v>
      </c>
    </row>
    <row r="583" spans="1:9" ht="72">
      <c r="A583" t="s">
        <v>3442</v>
      </c>
      <c r="B583" t="s">
        <v>202</v>
      </c>
      <c r="C583" s="1">
        <v>37575</v>
      </c>
      <c r="D583" t="s">
        <v>28</v>
      </c>
      <c r="E583">
        <v>6671554460</v>
      </c>
      <c r="F583" t="s">
        <v>2074</v>
      </c>
      <c r="G583" s="2" t="s">
        <v>2075</v>
      </c>
      <c r="H583">
        <v>1928567285</v>
      </c>
      <c r="I583" t="s">
        <v>2076</v>
      </c>
    </row>
    <row r="584" spans="1:9" ht="72">
      <c r="A584" t="s">
        <v>3514</v>
      </c>
      <c r="B584" t="s">
        <v>72</v>
      </c>
      <c r="C584" s="1">
        <v>23938</v>
      </c>
      <c r="D584" t="s">
        <v>10</v>
      </c>
      <c r="E584">
        <v>917755821262</v>
      </c>
      <c r="F584" t="s">
        <v>2077</v>
      </c>
      <c r="G584" s="2" t="s">
        <v>2078</v>
      </c>
      <c r="H584">
        <v>1775512944</v>
      </c>
      <c r="I584" t="s">
        <v>2079</v>
      </c>
    </row>
    <row r="585" spans="1:9" ht="86.4">
      <c r="A585" t="s">
        <v>3471</v>
      </c>
      <c r="B585" t="s">
        <v>1318</v>
      </c>
      <c r="C585" s="1">
        <v>31285</v>
      </c>
      <c r="D585" t="s">
        <v>28</v>
      </c>
      <c r="E585">
        <v>918385974776</v>
      </c>
      <c r="F585" t="s">
        <v>2080</v>
      </c>
      <c r="G585" s="2" t="s">
        <v>2081</v>
      </c>
      <c r="H585">
        <v>6922094907</v>
      </c>
      <c r="I585" t="s">
        <v>2082</v>
      </c>
    </row>
    <row r="586" spans="1:9" ht="72">
      <c r="A586" t="s">
        <v>3500</v>
      </c>
      <c r="B586" t="s">
        <v>311</v>
      </c>
      <c r="C586" s="1">
        <v>19093</v>
      </c>
      <c r="D586" t="s">
        <v>10</v>
      </c>
      <c r="E586">
        <v>115477349</v>
      </c>
      <c r="F586" t="s">
        <v>2083</v>
      </c>
      <c r="G586" s="2" t="s">
        <v>2084</v>
      </c>
      <c r="H586">
        <v>1685573952</v>
      </c>
      <c r="I586" t="s">
        <v>2085</v>
      </c>
    </row>
    <row r="587" spans="1:9" ht="72">
      <c r="A587" t="s">
        <v>3436</v>
      </c>
      <c r="B587" t="s">
        <v>2086</v>
      </c>
      <c r="C587" s="1">
        <v>32294</v>
      </c>
      <c r="D587" t="s">
        <v>10</v>
      </c>
      <c r="E587">
        <v>7947581660</v>
      </c>
      <c r="F587" t="s">
        <v>2087</v>
      </c>
      <c r="G587" s="2" t="s">
        <v>2088</v>
      </c>
      <c r="H587">
        <v>4185595083</v>
      </c>
      <c r="I587" t="s">
        <v>2089</v>
      </c>
    </row>
    <row r="588" spans="1:9">
      <c r="A588" t="s">
        <v>3470</v>
      </c>
      <c r="B588" t="s">
        <v>299</v>
      </c>
      <c r="C588" s="1">
        <v>27478</v>
      </c>
      <c r="D588" t="s">
        <v>15</v>
      </c>
      <c r="E588">
        <v>910175900170</v>
      </c>
      <c r="F588" t="s">
        <v>2090</v>
      </c>
      <c r="G588" t="s">
        <v>2091</v>
      </c>
      <c r="H588">
        <v>8967635367</v>
      </c>
      <c r="I588" t="s">
        <v>2092</v>
      </c>
    </row>
    <row r="589" spans="1:9" ht="72">
      <c r="A589" t="s">
        <v>3455</v>
      </c>
      <c r="B589" t="s">
        <v>778</v>
      </c>
      <c r="C589" s="1">
        <v>21128</v>
      </c>
      <c r="D589" t="s">
        <v>10</v>
      </c>
      <c r="E589">
        <v>8341335139</v>
      </c>
      <c r="F589" t="s">
        <v>2093</v>
      </c>
      <c r="G589" s="2" t="s">
        <v>2094</v>
      </c>
      <c r="H589">
        <v>73565826</v>
      </c>
      <c r="I589" t="s">
        <v>2095</v>
      </c>
    </row>
    <row r="590" spans="1:9">
      <c r="A590" t="s">
        <v>3520</v>
      </c>
      <c r="B590" t="s">
        <v>722</v>
      </c>
      <c r="C590" s="1">
        <v>32523</v>
      </c>
      <c r="D590" t="s">
        <v>10</v>
      </c>
      <c r="E590">
        <v>1288669112</v>
      </c>
      <c r="F590" t="s">
        <v>2096</v>
      </c>
      <c r="G590" t="s">
        <v>2097</v>
      </c>
      <c r="H590">
        <v>5325544118</v>
      </c>
      <c r="I590" t="s">
        <v>2098</v>
      </c>
    </row>
    <row r="591" spans="1:9">
      <c r="A591" t="s">
        <v>3517</v>
      </c>
      <c r="B591" t="s">
        <v>1789</v>
      </c>
      <c r="C591" s="1">
        <v>26231</v>
      </c>
      <c r="D591" t="s">
        <v>28</v>
      </c>
      <c r="E591">
        <v>910388193768</v>
      </c>
      <c r="F591" t="s">
        <v>2099</v>
      </c>
      <c r="G591" t="s">
        <v>2100</v>
      </c>
      <c r="H591">
        <v>1272836030</v>
      </c>
      <c r="I591" t="s">
        <v>2101</v>
      </c>
    </row>
    <row r="592" spans="1:9">
      <c r="A592" t="s">
        <v>3431</v>
      </c>
      <c r="B592" t="s">
        <v>2102</v>
      </c>
      <c r="C592" s="1">
        <v>34266</v>
      </c>
      <c r="D592" t="s">
        <v>28</v>
      </c>
      <c r="E592">
        <v>7618376295</v>
      </c>
      <c r="F592" t="s">
        <v>2103</v>
      </c>
      <c r="G592" t="s">
        <v>2104</v>
      </c>
      <c r="H592">
        <v>326456496</v>
      </c>
      <c r="I592" t="s">
        <v>2105</v>
      </c>
    </row>
    <row r="593" spans="1:9" ht="72">
      <c r="A593" t="s">
        <v>3519</v>
      </c>
      <c r="B593" t="s">
        <v>572</v>
      </c>
      <c r="C593" s="1">
        <v>34844</v>
      </c>
      <c r="D593" t="s">
        <v>10</v>
      </c>
      <c r="E593">
        <v>919064909703</v>
      </c>
      <c r="F593" t="s">
        <v>2106</v>
      </c>
      <c r="G593" s="2" t="s">
        <v>2107</v>
      </c>
      <c r="H593">
        <v>7421531936</v>
      </c>
      <c r="I593" t="s">
        <v>2108</v>
      </c>
    </row>
    <row r="594" spans="1:9" ht="57.6">
      <c r="A594" t="s">
        <v>3490</v>
      </c>
      <c r="B594" t="s">
        <v>140</v>
      </c>
      <c r="C594" s="1">
        <v>36094</v>
      </c>
      <c r="D594" t="s">
        <v>15</v>
      </c>
      <c r="E594">
        <v>918875480293</v>
      </c>
      <c r="F594" t="s">
        <v>2109</v>
      </c>
      <c r="G594" s="2" t="s">
        <v>2110</v>
      </c>
      <c r="H594">
        <v>5102140128</v>
      </c>
      <c r="I594" t="s">
        <v>2111</v>
      </c>
    </row>
    <row r="595" spans="1:9">
      <c r="A595" t="s">
        <v>3413</v>
      </c>
      <c r="B595" t="s">
        <v>1182</v>
      </c>
      <c r="C595" s="1">
        <v>31901</v>
      </c>
      <c r="D595" t="s">
        <v>28</v>
      </c>
      <c r="E595">
        <v>359717717</v>
      </c>
      <c r="F595" t="s">
        <v>2112</v>
      </c>
      <c r="G595" t="s">
        <v>2113</v>
      </c>
      <c r="H595">
        <v>6841876776</v>
      </c>
      <c r="I595" t="s">
        <v>2114</v>
      </c>
    </row>
    <row r="596" spans="1:9" ht="100.8">
      <c r="A596" t="s">
        <v>3460</v>
      </c>
      <c r="B596" t="s">
        <v>527</v>
      </c>
      <c r="C596" s="1">
        <v>35622</v>
      </c>
      <c r="D596" t="s">
        <v>28</v>
      </c>
      <c r="E596">
        <v>3173033249</v>
      </c>
      <c r="F596" t="s">
        <v>2115</v>
      </c>
      <c r="G596" s="2" t="s">
        <v>2116</v>
      </c>
      <c r="H596">
        <v>6054270799</v>
      </c>
      <c r="I596" t="s">
        <v>2117</v>
      </c>
    </row>
    <row r="597" spans="1:9" ht="57.6">
      <c r="A597" t="s">
        <v>3580</v>
      </c>
      <c r="B597" t="s">
        <v>2118</v>
      </c>
      <c r="C597" s="1">
        <v>29574</v>
      </c>
      <c r="D597" t="s">
        <v>15</v>
      </c>
      <c r="E597">
        <v>4754565728</v>
      </c>
      <c r="F597" t="s">
        <v>2119</v>
      </c>
      <c r="G597" s="2" t="s">
        <v>2120</v>
      </c>
      <c r="H597">
        <v>2613826870</v>
      </c>
      <c r="I597" t="s">
        <v>2121</v>
      </c>
    </row>
    <row r="598" spans="1:9">
      <c r="A598" t="s">
        <v>3464</v>
      </c>
      <c r="B598" t="s">
        <v>977</v>
      </c>
      <c r="C598" s="1">
        <v>22925</v>
      </c>
      <c r="D598" t="s">
        <v>28</v>
      </c>
      <c r="E598">
        <v>9626377927</v>
      </c>
      <c r="F598" t="s">
        <v>2122</v>
      </c>
      <c r="G598" t="s">
        <v>2123</v>
      </c>
      <c r="H598">
        <v>9344606069</v>
      </c>
      <c r="I598" t="s">
        <v>2124</v>
      </c>
    </row>
    <row r="599" spans="1:9" ht="86.4">
      <c r="A599" t="s">
        <v>3450</v>
      </c>
      <c r="B599" t="s">
        <v>2125</v>
      </c>
      <c r="C599" s="1">
        <v>31191</v>
      </c>
      <c r="D599" t="s">
        <v>10</v>
      </c>
      <c r="E599">
        <v>5294128537</v>
      </c>
      <c r="F599" t="s">
        <v>2126</v>
      </c>
      <c r="G599" s="2" t="s">
        <v>2127</v>
      </c>
      <c r="H599">
        <v>5376425507</v>
      </c>
      <c r="I599" t="s">
        <v>2128</v>
      </c>
    </row>
    <row r="600" spans="1:9" ht="86.4">
      <c r="A600" t="s">
        <v>3575</v>
      </c>
      <c r="B600" t="s">
        <v>218</v>
      </c>
      <c r="C600" s="1">
        <v>18871</v>
      </c>
      <c r="D600" t="s">
        <v>10</v>
      </c>
      <c r="E600">
        <v>919221317019</v>
      </c>
      <c r="F600" t="s">
        <v>2129</v>
      </c>
      <c r="G600" s="2" t="s">
        <v>2130</v>
      </c>
      <c r="H600">
        <v>1796441603</v>
      </c>
      <c r="I600" t="s">
        <v>2131</v>
      </c>
    </row>
    <row r="601" spans="1:9" ht="86.4">
      <c r="A601" t="s">
        <v>3495</v>
      </c>
      <c r="B601" t="s">
        <v>1202</v>
      </c>
      <c r="C601" s="1">
        <v>35264</v>
      </c>
      <c r="D601" t="s">
        <v>10</v>
      </c>
      <c r="E601">
        <v>912874512022</v>
      </c>
      <c r="F601" t="s">
        <v>2132</v>
      </c>
      <c r="G601" s="2" t="s">
        <v>2133</v>
      </c>
      <c r="H601">
        <v>1526974420</v>
      </c>
      <c r="I601" t="s">
        <v>2134</v>
      </c>
    </row>
    <row r="602" spans="1:9">
      <c r="A602" t="s">
        <v>3445</v>
      </c>
      <c r="B602" t="s">
        <v>1075</v>
      </c>
      <c r="C602" s="1">
        <v>22515</v>
      </c>
      <c r="D602" t="s">
        <v>28</v>
      </c>
      <c r="E602">
        <v>910958723836</v>
      </c>
      <c r="F602" t="s">
        <v>2135</v>
      </c>
      <c r="G602" t="s">
        <v>2136</v>
      </c>
      <c r="H602">
        <v>1967972092</v>
      </c>
      <c r="I602" t="s">
        <v>2137</v>
      </c>
    </row>
    <row r="603" spans="1:9" ht="72">
      <c r="A603" t="s">
        <v>3523</v>
      </c>
      <c r="B603" t="s">
        <v>1002</v>
      </c>
      <c r="C603" s="1">
        <v>26596</v>
      </c>
      <c r="D603" t="s">
        <v>28</v>
      </c>
      <c r="E603">
        <v>913329704937</v>
      </c>
      <c r="F603" t="s">
        <v>2138</v>
      </c>
      <c r="G603" s="2" t="s">
        <v>2139</v>
      </c>
      <c r="H603">
        <v>4142487396</v>
      </c>
      <c r="I603" t="s">
        <v>2140</v>
      </c>
    </row>
    <row r="604" spans="1:9" ht="72">
      <c r="A604" t="s">
        <v>3541</v>
      </c>
      <c r="B604" t="s">
        <v>14</v>
      </c>
      <c r="C604" s="1">
        <v>22246</v>
      </c>
      <c r="D604" t="s">
        <v>28</v>
      </c>
      <c r="E604">
        <v>9773677244</v>
      </c>
      <c r="F604" t="s">
        <v>2141</v>
      </c>
      <c r="G604" s="2" t="s">
        <v>2142</v>
      </c>
      <c r="H604">
        <v>3480424796</v>
      </c>
      <c r="I604" t="s">
        <v>2143</v>
      </c>
    </row>
    <row r="605" spans="1:9" ht="86.4">
      <c r="A605" t="s">
        <v>3542</v>
      </c>
      <c r="B605" t="s">
        <v>902</v>
      </c>
      <c r="C605" s="1">
        <v>29830</v>
      </c>
      <c r="D605" t="s">
        <v>28</v>
      </c>
      <c r="E605">
        <v>917624266225</v>
      </c>
      <c r="F605" t="s">
        <v>2144</v>
      </c>
      <c r="G605" s="2" t="s">
        <v>2145</v>
      </c>
      <c r="H605">
        <v>1475690018</v>
      </c>
      <c r="I605" t="s">
        <v>2146</v>
      </c>
    </row>
    <row r="606" spans="1:9" ht="57.6">
      <c r="A606" t="s">
        <v>3493</v>
      </c>
      <c r="B606" t="s">
        <v>1361</v>
      </c>
      <c r="C606" s="1">
        <v>37739</v>
      </c>
      <c r="D606" t="s">
        <v>10</v>
      </c>
      <c r="E606">
        <v>2298359667</v>
      </c>
      <c r="F606" t="s">
        <v>2147</v>
      </c>
      <c r="G606" s="2" t="s">
        <v>2148</v>
      </c>
      <c r="H606">
        <v>900647614</v>
      </c>
      <c r="I606" t="s">
        <v>2149</v>
      </c>
    </row>
    <row r="607" spans="1:9" ht="57.6">
      <c r="A607" t="s">
        <v>3483</v>
      </c>
      <c r="B607" t="s">
        <v>587</v>
      </c>
      <c r="C607" s="1">
        <v>34198</v>
      </c>
      <c r="D607" t="s">
        <v>15</v>
      </c>
      <c r="E607">
        <v>914231697920</v>
      </c>
      <c r="F607" t="s">
        <v>2150</v>
      </c>
      <c r="G607" s="2" t="s">
        <v>2151</v>
      </c>
      <c r="H607">
        <v>7835733813</v>
      </c>
      <c r="I607" t="s">
        <v>2152</v>
      </c>
    </row>
    <row r="608" spans="1:9" ht="72">
      <c r="A608" t="s">
        <v>3557</v>
      </c>
      <c r="B608" t="s">
        <v>1379</v>
      </c>
      <c r="C608" s="1">
        <v>22320</v>
      </c>
      <c r="D608" t="s">
        <v>10</v>
      </c>
      <c r="E608">
        <v>916412247409</v>
      </c>
      <c r="F608" t="s">
        <v>2153</v>
      </c>
      <c r="G608" s="2" t="s">
        <v>2154</v>
      </c>
      <c r="H608">
        <v>1555870940</v>
      </c>
      <c r="I608" t="s">
        <v>2155</v>
      </c>
    </row>
    <row r="609" spans="1:9" ht="72">
      <c r="A609" t="s">
        <v>3558</v>
      </c>
      <c r="B609" t="s">
        <v>1318</v>
      </c>
      <c r="C609" s="1">
        <v>21711</v>
      </c>
      <c r="D609" t="s">
        <v>28</v>
      </c>
      <c r="E609">
        <v>5125380781</v>
      </c>
      <c r="F609" t="s">
        <v>2156</v>
      </c>
      <c r="G609" s="2" t="s">
        <v>2157</v>
      </c>
      <c r="H609">
        <v>8246306162</v>
      </c>
      <c r="I609" t="s">
        <v>2158</v>
      </c>
    </row>
    <row r="610" spans="1:9" ht="86.4">
      <c r="A610" t="s">
        <v>3433</v>
      </c>
      <c r="B610" t="s">
        <v>180</v>
      </c>
      <c r="C610" s="1">
        <v>28659</v>
      </c>
      <c r="D610" t="s">
        <v>10</v>
      </c>
      <c r="E610">
        <v>915042059868</v>
      </c>
      <c r="F610" t="s">
        <v>2159</v>
      </c>
      <c r="G610" s="2" t="s">
        <v>2160</v>
      </c>
      <c r="H610">
        <v>9278888189</v>
      </c>
      <c r="I610" t="s">
        <v>2161</v>
      </c>
    </row>
    <row r="611" spans="1:9">
      <c r="A611" t="s">
        <v>3472</v>
      </c>
      <c r="B611" t="s">
        <v>1349</v>
      </c>
      <c r="C611" s="1">
        <v>27958</v>
      </c>
      <c r="D611" t="s">
        <v>15</v>
      </c>
      <c r="E611">
        <v>7851856905</v>
      </c>
      <c r="F611" t="s">
        <v>2162</v>
      </c>
      <c r="G611" t="s">
        <v>2163</v>
      </c>
      <c r="H611">
        <v>5640783083</v>
      </c>
      <c r="I611" t="s">
        <v>2164</v>
      </c>
    </row>
    <row r="612" spans="1:9" ht="72">
      <c r="A612" t="s">
        <v>3424</v>
      </c>
      <c r="B612" t="s">
        <v>1065</v>
      </c>
      <c r="C612" s="1">
        <v>20393</v>
      </c>
      <c r="D612" t="s">
        <v>10</v>
      </c>
      <c r="E612">
        <v>4549836714</v>
      </c>
      <c r="F612" t="s">
        <v>2165</v>
      </c>
      <c r="G612" s="2" t="s">
        <v>2166</v>
      </c>
      <c r="H612">
        <v>5956343180</v>
      </c>
      <c r="I612" t="s">
        <v>2167</v>
      </c>
    </row>
    <row r="613" spans="1:9" ht="57.6">
      <c r="A613" t="s">
        <v>3564</v>
      </c>
      <c r="B613" t="s">
        <v>1667</v>
      </c>
      <c r="C613" s="1">
        <v>26429</v>
      </c>
      <c r="D613" t="s">
        <v>15</v>
      </c>
      <c r="E613">
        <v>5337773031</v>
      </c>
      <c r="F613" t="s">
        <v>2168</v>
      </c>
      <c r="G613" s="2" t="s">
        <v>2169</v>
      </c>
      <c r="H613">
        <v>4550054908</v>
      </c>
      <c r="I613" t="s">
        <v>2170</v>
      </c>
    </row>
    <row r="614" spans="1:9" ht="72">
      <c r="A614" t="s">
        <v>3602</v>
      </c>
      <c r="B614" t="s">
        <v>2171</v>
      </c>
      <c r="C614" s="1">
        <v>30762</v>
      </c>
      <c r="D614" t="s">
        <v>28</v>
      </c>
      <c r="E614">
        <v>7246163034</v>
      </c>
      <c r="F614" t="s">
        <v>2172</v>
      </c>
      <c r="G614" s="2" t="s">
        <v>2173</v>
      </c>
      <c r="H614">
        <v>5466289735</v>
      </c>
      <c r="I614" t="s">
        <v>2174</v>
      </c>
    </row>
    <row r="615" spans="1:9" ht="72">
      <c r="A615" t="s">
        <v>3551</v>
      </c>
      <c r="B615" t="s">
        <v>2175</v>
      </c>
      <c r="C615" s="1">
        <v>33531</v>
      </c>
      <c r="D615" t="s">
        <v>10</v>
      </c>
      <c r="E615">
        <v>22302340</v>
      </c>
      <c r="F615" t="s">
        <v>2176</v>
      </c>
      <c r="G615" s="2" t="s">
        <v>2177</v>
      </c>
      <c r="H615">
        <v>6660812392</v>
      </c>
      <c r="I615" t="s">
        <v>2178</v>
      </c>
    </row>
    <row r="616" spans="1:9" ht="86.4">
      <c r="A616" t="s">
        <v>3535</v>
      </c>
      <c r="B616" t="s">
        <v>868</v>
      </c>
      <c r="C616" s="1">
        <v>31668</v>
      </c>
      <c r="D616" t="s">
        <v>10</v>
      </c>
      <c r="E616">
        <v>3615276958</v>
      </c>
      <c r="F616" t="s">
        <v>2179</v>
      </c>
      <c r="G616" s="2" t="s">
        <v>2180</v>
      </c>
      <c r="H616">
        <v>3118026691</v>
      </c>
      <c r="I616" t="s">
        <v>2181</v>
      </c>
    </row>
    <row r="617" spans="1:9">
      <c r="A617" t="s">
        <v>3549</v>
      </c>
      <c r="B617" t="s">
        <v>648</v>
      </c>
      <c r="C617" s="1">
        <v>24381</v>
      </c>
      <c r="D617" t="s">
        <v>10</v>
      </c>
      <c r="E617">
        <v>1891199256</v>
      </c>
      <c r="F617" t="s">
        <v>2182</v>
      </c>
      <c r="G617" t="s">
        <v>2183</v>
      </c>
      <c r="H617">
        <v>1325179044</v>
      </c>
      <c r="I617" t="s">
        <v>2184</v>
      </c>
    </row>
    <row r="618" spans="1:9" ht="72">
      <c r="A618" t="s">
        <v>3427</v>
      </c>
      <c r="B618" t="s">
        <v>2185</v>
      </c>
      <c r="C618" s="1">
        <v>37876</v>
      </c>
      <c r="D618" t="s">
        <v>10</v>
      </c>
      <c r="E618">
        <v>7148783103</v>
      </c>
      <c r="F618" t="s">
        <v>2186</v>
      </c>
      <c r="G618" s="2" t="s">
        <v>2187</v>
      </c>
      <c r="H618">
        <v>9998709339</v>
      </c>
      <c r="I618" t="s">
        <v>2188</v>
      </c>
    </row>
    <row r="619" spans="1:9" ht="86.4">
      <c r="A619" t="s">
        <v>3462</v>
      </c>
      <c r="B619" t="s">
        <v>770</v>
      </c>
      <c r="C619" s="1">
        <v>17934</v>
      </c>
      <c r="D619" t="s">
        <v>28</v>
      </c>
      <c r="E619">
        <v>326753180</v>
      </c>
      <c r="F619" t="s">
        <v>2189</v>
      </c>
      <c r="G619" s="2" t="s">
        <v>2190</v>
      </c>
      <c r="H619">
        <v>47486794</v>
      </c>
      <c r="I619" t="s">
        <v>2191</v>
      </c>
    </row>
    <row r="620" spans="1:9">
      <c r="A620" t="s">
        <v>3583</v>
      </c>
      <c r="B620" t="s">
        <v>855</v>
      </c>
      <c r="C620" s="1">
        <v>18128</v>
      </c>
      <c r="D620" t="s">
        <v>15</v>
      </c>
      <c r="E620">
        <v>3610077017</v>
      </c>
      <c r="F620" t="s">
        <v>2192</v>
      </c>
      <c r="G620" t="s">
        <v>2193</v>
      </c>
      <c r="H620">
        <v>214441559</v>
      </c>
      <c r="I620" t="s">
        <v>2194</v>
      </c>
    </row>
    <row r="621" spans="1:9" ht="57.6">
      <c r="A621" t="s">
        <v>3458</v>
      </c>
      <c r="B621" t="s">
        <v>2195</v>
      </c>
      <c r="C621" s="1">
        <v>31861</v>
      </c>
      <c r="D621" t="s">
        <v>15</v>
      </c>
      <c r="E621">
        <v>6552391703</v>
      </c>
      <c r="F621" t="s">
        <v>2196</v>
      </c>
      <c r="G621" s="2" t="s">
        <v>2197</v>
      </c>
      <c r="H621">
        <v>4872385865</v>
      </c>
      <c r="I621" t="s">
        <v>2198</v>
      </c>
    </row>
    <row r="622" spans="1:9">
      <c r="A622" t="s">
        <v>3603</v>
      </c>
      <c r="B622" t="s">
        <v>238</v>
      </c>
      <c r="C622" s="1">
        <v>24308</v>
      </c>
      <c r="D622" t="s">
        <v>10</v>
      </c>
      <c r="E622">
        <v>1349317967</v>
      </c>
      <c r="F622" t="s">
        <v>2199</v>
      </c>
      <c r="G622" t="s">
        <v>2200</v>
      </c>
      <c r="H622">
        <v>3546463989</v>
      </c>
      <c r="I622" t="s">
        <v>2201</v>
      </c>
    </row>
    <row r="623" spans="1:9" ht="72">
      <c r="A623" t="s">
        <v>3591</v>
      </c>
      <c r="B623" t="s">
        <v>1269</v>
      </c>
      <c r="C623" s="1">
        <v>38878</v>
      </c>
      <c r="D623" t="s">
        <v>28</v>
      </c>
      <c r="E623">
        <v>919342718669</v>
      </c>
      <c r="F623" t="s">
        <v>2202</v>
      </c>
      <c r="G623" s="2" t="s">
        <v>2203</v>
      </c>
      <c r="H623">
        <v>3844981213</v>
      </c>
      <c r="I623" t="s">
        <v>2204</v>
      </c>
    </row>
    <row r="624" spans="1:9">
      <c r="A624" t="s">
        <v>3458</v>
      </c>
      <c r="B624" t="s">
        <v>467</v>
      </c>
      <c r="C624" s="1">
        <v>27159</v>
      </c>
      <c r="D624" t="s">
        <v>15</v>
      </c>
      <c r="E624">
        <v>9086723310</v>
      </c>
      <c r="F624" t="s">
        <v>2205</v>
      </c>
      <c r="G624" t="s">
        <v>2206</v>
      </c>
      <c r="H624">
        <v>6417613023</v>
      </c>
      <c r="I624" t="s">
        <v>2207</v>
      </c>
    </row>
    <row r="625" spans="1:9" ht="86.4">
      <c r="A625" t="s">
        <v>3483</v>
      </c>
      <c r="B625" t="s">
        <v>2208</v>
      </c>
      <c r="C625" s="1">
        <v>32975</v>
      </c>
      <c r="D625" t="s">
        <v>15</v>
      </c>
      <c r="E625">
        <v>1676403239</v>
      </c>
      <c r="F625" t="s">
        <v>2209</v>
      </c>
      <c r="G625" s="2" t="s">
        <v>2210</v>
      </c>
      <c r="H625">
        <v>5296444843</v>
      </c>
      <c r="I625" t="s">
        <v>2211</v>
      </c>
    </row>
    <row r="626" spans="1:9" ht="72">
      <c r="A626" t="s">
        <v>3498</v>
      </c>
      <c r="B626" t="s">
        <v>2212</v>
      </c>
      <c r="C626" s="1">
        <v>18978</v>
      </c>
      <c r="D626" t="s">
        <v>15</v>
      </c>
      <c r="E626">
        <v>4098058771</v>
      </c>
      <c r="F626" t="s">
        <v>2213</v>
      </c>
      <c r="G626" s="2" t="s">
        <v>2214</v>
      </c>
      <c r="H626">
        <v>2162660323</v>
      </c>
      <c r="I626" t="s">
        <v>2215</v>
      </c>
    </row>
    <row r="627" spans="1:9" ht="72">
      <c r="A627" t="s">
        <v>3483</v>
      </c>
      <c r="B627" t="s">
        <v>1559</v>
      </c>
      <c r="C627" s="1">
        <v>34179</v>
      </c>
      <c r="D627" t="s">
        <v>15</v>
      </c>
      <c r="E627">
        <v>9977379395</v>
      </c>
      <c r="F627" t="s">
        <v>2216</v>
      </c>
      <c r="G627" s="2" t="s">
        <v>2217</v>
      </c>
      <c r="H627">
        <v>6761125842</v>
      </c>
      <c r="I627" t="s">
        <v>2218</v>
      </c>
    </row>
    <row r="628" spans="1:9" ht="72">
      <c r="A628" t="s">
        <v>3535</v>
      </c>
      <c r="B628" t="s">
        <v>2219</v>
      </c>
      <c r="C628" s="1">
        <v>30457</v>
      </c>
      <c r="D628" t="s">
        <v>15</v>
      </c>
      <c r="E628">
        <v>2924828732</v>
      </c>
      <c r="F628" t="s">
        <v>2220</v>
      </c>
      <c r="G628" s="2" t="s">
        <v>2221</v>
      </c>
      <c r="H628">
        <v>842874162</v>
      </c>
      <c r="I628" t="s">
        <v>2222</v>
      </c>
    </row>
    <row r="629" spans="1:9" ht="86.4">
      <c r="A629" t="s">
        <v>3438</v>
      </c>
      <c r="B629" t="s">
        <v>2223</v>
      </c>
      <c r="C629" s="1">
        <v>35987</v>
      </c>
      <c r="D629" t="s">
        <v>15</v>
      </c>
      <c r="E629">
        <v>5510051081</v>
      </c>
      <c r="F629" t="s">
        <v>2224</v>
      </c>
      <c r="G629" s="2" t="s">
        <v>2225</v>
      </c>
      <c r="H629">
        <v>4243753916</v>
      </c>
      <c r="I629" t="s">
        <v>2226</v>
      </c>
    </row>
    <row r="630" spans="1:9" ht="86.4">
      <c r="A630" t="s">
        <v>3498</v>
      </c>
      <c r="B630" t="s">
        <v>311</v>
      </c>
      <c r="C630" s="1">
        <v>28316</v>
      </c>
      <c r="D630" t="s">
        <v>28</v>
      </c>
      <c r="E630">
        <v>9687403304</v>
      </c>
      <c r="F630" t="s">
        <v>2227</v>
      </c>
      <c r="G630" s="2" t="s">
        <v>2228</v>
      </c>
      <c r="H630">
        <v>1764296280</v>
      </c>
      <c r="I630" t="s">
        <v>2229</v>
      </c>
    </row>
    <row r="631" spans="1:9">
      <c r="A631" t="s">
        <v>3585</v>
      </c>
      <c r="B631" t="s">
        <v>64</v>
      </c>
      <c r="C631" s="1">
        <v>37861</v>
      </c>
      <c r="D631" t="s">
        <v>10</v>
      </c>
      <c r="E631">
        <v>9961315255</v>
      </c>
      <c r="F631" t="s">
        <v>2230</v>
      </c>
      <c r="G631" t="s">
        <v>2231</v>
      </c>
      <c r="H631">
        <v>5011152558</v>
      </c>
      <c r="I631" t="s">
        <v>2232</v>
      </c>
    </row>
    <row r="632" spans="1:9" ht="57.6">
      <c r="A632" t="s">
        <v>3447</v>
      </c>
      <c r="B632" t="s">
        <v>2233</v>
      </c>
      <c r="C632" s="1">
        <v>23321</v>
      </c>
      <c r="D632" t="s">
        <v>15</v>
      </c>
      <c r="E632">
        <v>917489030458</v>
      </c>
      <c r="F632" t="s">
        <v>2234</v>
      </c>
      <c r="G632" s="2" t="s">
        <v>2235</v>
      </c>
      <c r="H632">
        <v>7991137983</v>
      </c>
      <c r="I632" t="s">
        <v>2236</v>
      </c>
    </row>
    <row r="633" spans="1:9" ht="86.4">
      <c r="A633" t="s">
        <v>3463</v>
      </c>
      <c r="B633" t="s">
        <v>2237</v>
      </c>
      <c r="C633" s="1">
        <v>34798</v>
      </c>
      <c r="D633" t="s">
        <v>28</v>
      </c>
      <c r="E633">
        <v>911608958970</v>
      </c>
      <c r="F633" t="s">
        <v>2238</v>
      </c>
      <c r="G633" s="2" t="s">
        <v>2239</v>
      </c>
      <c r="H633">
        <v>746113997</v>
      </c>
      <c r="I633" t="s">
        <v>2240</v>
      </c>
    </row>
    <row r="634" spans="1:9" ht="57.6">
      <c r="A634" t="s">
        <v>3545</v>
      </c>
      <c r="B634" t="s">
        <v>876</v>
      </c>
      <c r="C634" s="1">
        <v>38928</v>
      </c>
      <c r="D634" t="s">
        <v>28</v>
      </c>
      <c r="E634">
        <v>913878852858</v>
      </c>
      <c r="F634" t="s">
        <v>2241</v>
      </c>
      <c r="G634" s="2" t="s">
        <v>2242</v>
      </c>
      <c r="H634">
        <v>4457444107</v>
      </c>
      <c r="I634" t="s">
        <v>2243</v>
      </c>
    </row>
    <row r="635" spans="1:9" ht="72">
      <c r="A635" t="s">
        <v>3518</v>
      </c>
      <c r="B635" t="s">
        <v>977</v>
      </c>
      <c r="C635" s="1">
        <v>23599</v>
      </c>
      <c r="D635" t="s">
        <v>10</v>
      </c>
      <c r="E635">
        <v>7591604359</v>
      </c>
      <c r="F635" t="s">
        <v>2244</v>
      </c>
      <c r="G635" s="2" t="s">
        <v>2245</v>
      </c>
      <c r="H635">
        <v>730717761</v>
      </c>
      <c r="I635" t="s">
        <v>2246</v>
      </c>
    </row>
    <row r="636" spans="1:9" ht="86.4">
      <c r="A636" t="s">
        <v>3457</v>
      </c>
      <c r="B636" t="s">
        <v>677</v>
      </c>
      <c r="C636" s="1">
        <v>21520</v>
      </c>
      <c r="D636" t="s">
        <v>10</v>
      </c>
      <c r="E636">
        <v>913854033699</v>
      </c>
      <c r="F636" t="s">
        <v>2247</v>
      </c>
      <c r="G636" s="2" t="s">
        <v>2248</v>
      </c>
      <c r="H636">
        <v>2490322347</v>
      </c>
      <c r="I636" t="s">
        <v>2249</v>
      </c>
    </row>
    <row r="637" spans="1:9" ht="72">
      <c r="A637" t="s">
        <v>3548</v>
      </c>
      <c r="B637" t="s">
        <v>1663</v>
      </c>
      <c r="C637" s="1">
        <v>26698</v>
      </c>
      <c r="D637" t="s">
        <v>15</v>
      </c>
      <c r="E637">
        <v>5570200617</v>
      </c>
      <c r="F637" t="s">
        <v>2250</v>
      </c>
      <c r="G637" s="2" t="s">
        <v>2251</v>
      </c>
      <c r="H637">
        <v>7612228305</v>
      </c>
      <c r="I637" t="s">
        <v>2252</v>
      </c>
    </row>
    <row r="638" spans="1:9" ht="86.4">
      <c r="A638" t="s">
        <v>3461</v>
      </c>
      <c r="B638" t="s">
        <v>2253</v>
      </c>
      <c r="C638" s="1">
        <v>27047</v>
      </c>
      <c r="D638" t="s">
        <v>10</v>
      </c>
      <c r="E638">
        <v>5595026356</v>
      </c>
      <c r="F638" t="s">
        <v>2254</v>
      </c>
      <c r="G638" s="2" t="s">
        <v>2255</v>
      </c>
      <c r="H638">
        <v>6269022209</v>
      </c>
      <c r="I638" t="s">
        <v>2256</v>
      </c>
    </row>
    <row r="639" spans="1:9">
      <c r="A639" t="s">
        <v>3428</v>
      </c>
      <c r="B639" t="s">
        <v>2257</v>
      </c>
      <c r="C639" s="1">
        <v>33816</v>
      </c>
      <c r="D639" t="s">
        <v>10</v>
      </c>
      <c r="E639">
        <v>151200393</v>
      </c>
      <c r="F639" t="s">
        <v>2258</v>
      </c>
      <c r="G639" t="s">
        <v>2259</v>
      </c>
      <c r="H639">
        <v>9210530712</v>
      </c>
      <c r="I639" t="s">
        <v>2260</v>
      </c>
    </row>
    <row r="640" spans="1:9">
      <c r="A640" t="s">
        <v>3585</v>
      </c>
      <c r="B640" t="s">
        <v>961</v>
      </c>
      <c r="C640" s="1">
        <v>28874</v>
      </c>
      <c r="D640" t="s">
        <v>28</v>
      </c>
      <c r="E640">
        <v>4270549857</v>
      </c>
      <c r="F640" t="s">
        <v>2261</v>
      </c>
      <c r="G640" t="s">
        <v>2262</v>
      </c>
      <c r="H640">
        <v>9524760960</v>
      </c>
      <c r="I640" t="s">
        <v>2263</v>
      </c>
    </row>
    <row r="641" spans="1:9">
      <c r="A641" t="s">
        <v>3525</v>
      </c>
      <c r="B641" t="s">
        <v>1190</v>
      </c>
      <c r="C641" s="1">
        <v>23233</v>
      </c>
      <c r="D641" t="s">
        <v>28</v>
      </c>
      <c r="E641">
        <v>8747788407</v>
      </c>
      <c r="F641" t="s">
        <v>2264</v>
      </c>
      <c r="G641" t="s">
        <v>2265</v>
      </c>
      <c r="H641">
        <v>8261641700</v>
      </c>
      <c r="I641" t="s">
        <v>2266</v>
      </c>
    </row>
    <row r="642" spans="1:9" ht="57.6">
      <c r="A642" t="s">
        <v>3502</v>
      </c>
      <c r="B642" t="s">
        <v>44</v>
      </c>
      <c r="C642" s="1">
        <v>35653</v>
      </c>
      <c r="D642" t="s">
        <v>28</v>
      </c>
      <c r="E642">
        <v>8803166479</v>
      </c>
      <c r="F642" t="s">
        <v>2267</v>
      </c>
      <c r="G642" s="2" t="s">
        <v>2268</v>
      </c>
      <c r="H642">
        <v>9848087017</v>
      </c>
      <c r="I642" t="s">
        <v>2269</v>
      </c>
    </row>
    <row r="643" spans="1:9" ht="86.4">
      <c r="A643" t="s">
        <v>3500</v>
      </c>
      <c r="B643" t="s">
        <v>2270</v>
      </c>
      <c r="C643" s="1">
        <v>20398</v>
      </c>
      <c r="D643" t="s">
        <v>15</v>
      </c>
      <c r="E643">
        <v>740433689</v>
      </c>
      <c r="F643" t="s">
        <v>2271</v>
      </c>
      <c r="G643" s="2" t="s">
        <v>2272</v>
      </c>
      <c r="H643">
        <v>5020502549</v>
      </c>
      <c r="I643" t="s">
        <v>2273</v>
      </c>
    </row>
    <row r="644" spans="1:9" ht="86.4">
      <c r="A644" t="s">
        <v>3563</v>
      </c>
      <c r="B644" t="s">
        <v>1318</v>
      </c>
      <c r="C644" s="1">
        <v>29525</v>
      </c>
      <c r="D644" t="s">
        <v>15</v>
      </c>
      <c r="E644">
        <v>9974753965</v>
      </c>
      <c r="F644" t="s">
        <v>2274</v>
      </c>
      <c r="G644" s="2" t="s">
        <v>2275</v>
      </c>
      <c r="H644">
        <v>7937669976</v>
      </c>
      <c r="I644" t="s">
        <v>2276</v>
      </c>
    </row>
    <row r="645" spans="1:9" ht="72">
      <c r="A645" t="s">
        <v>3527</v>
      </c>
      <c r="B645" t="s">
        <v>2277</v>
      </c>
      <c r="C645" s="1">
        <v>37604</v>
      </c>
      <c r="D645" t="s">
        <v>10</v>
      </c>
      <c r="E645">
        <v>4905849688</v>
      </c>
      <c r="F645" t="s">
        <v>2278</v>
      </c>
      <c r="G645" s="2" t="s">
        <v>2279</v>
      </c>
      <c r="H645">
        <v>2453527911</v>
      </c>
      <c r="I645" t="s">
        <v>2280</v>
      </c>
    </row>
    <row r="646" spans="1:9" ht="72">
      <c r="A646" t="s">
        <v>3510</v>
      </c>
      <c r="B646" t="s">
        <v>1357</v>
      </c>
      <c r="C646" s="1">
        <v>34664</v>
      </c>
      <c r="D646" t="s">
        <v>10</v>
      </c>
      <c r="E646">
        <v>8985932135</v>
      </c>
      <c r="F646" t="s">
        <v>2281</v>
      </c>
      <c r="G646" s="2" t="s">
        <v>2282</v>
      </c>
      <c r="H646">
        <v>5482987819</v>
      </c>
      <c r="I646" t="s">
        <v>2283</v>
      </c>
    </row>
    <row r="647" spans="1:9" ht="72">
      <c r="A647" t="s">
        <v>3594</v>
      </c>
      <c r="B647" t="s">
        <v>2284</v>
      </c>
      <c r="C647" s="1">
        <v>25408</v>
      </c>
      <c r="D647" t="s">
        <v>15</v>
      </c>
      <c r="E647">
        <v>429371784</v>
      </c>
      <c r="F647" t="s">
        <v>2285</v>
      </c>
      <c r="G647" s="2" t="s">
        <v>2286</v>
      </c>
      <c r="H647">
        <v>8897988775</v>
      </c>
      <c r="I647" t="s">
        <v>2287</v>
      </c>
    </row>
    <row r="648" spans="1:9" ht="57.6">
      <c r="A648" t="s">
        <v>3432</v>
      </c>
      <c r="B648" t="s">
        <v>1671</v>
      </c>
      <c r="C648" s="1">
        <v>17933</v>
      </c>
      <c r="D648" t="s">
        <v>15</v>
      </c>
      <c r="E648">
        <v>919293605962</v>
      </c>
      <c r="F648" t="s">
        <v>2288</v>
      </c>
      <c r="G648" s="2" t="s">
        <v>2289</v>
      </c>
      <c r="H648">
        <v>6115686223</v>
      </c>
      <c r="I648" t="s">
        <v>2290</v>
      </c>
    </row>
    <row r="649" spans="1:9" ht="100.8">
      <c r="A649" t="s">
        <v>3417</v>
      </c>
      <c r="B649" t="s">
        <v>2291</v>
      </c>
      <c r="C649" s="1">
        <v>20365</v>
      </c>
      <c r="D649" t="s">
        <v>28</v>
      </c>
      <c r="E649">
        <v>227433037</v>
      </c>
      <c r="F649" t="s">
        <v>2292</v>
      </c>
      <c r="G649" s="2" t="s">
        <v>2293</v>
      </c>
      <c r="H649">
        <v>2878066154</v>
      </c>
      <c r="I649" t="s">
        <v>2294</v>
      </c>
    </row>
    <row r="650" spans="1:9" ht="72">
      <c r="A650" t="s">
        <v>3486</v>
      </c>
      <c r="B650" t="s">
        <v>108</v>
      </c>
      <c r="C650" s="1">
        <v>35440</v>
      </c>
      <c r="D650" t="s">
        <v>15</v>
      </c>
      <c r="E650">
        <v>1802882521</v>
      </c>
      <c r="F650" t="s">
        <v>2295</v>
      </c>
      <c r="G650" s="2" t="s">
        <v>2296</v>
      </c>
      <c r="H650">
        <v>9887123203</v>
      </c>
      <c r="I650" t="s">
        <v>2297</v>
      </c>
    </row>
    <row r="651" spans="1:9" ht="86.4">
      <c r="A651" t="s">
        <v>3580</v>
      </c>
      <c r="B651" t="s">
        <v>172</v>
      </c>
      <c r="C651" s="1">
        <v>27500</v>
      </c>
      <c r="D651" t="s">
        <v>15</v>
      </c>
      <c r="E651">
        <v>916852728760</v>
      </c>
      <c r="F651" t="s">
        <v>2298</v>
      </c>
      <c r="G651" s="2" t="s">
        <v>2299</v>
      </c>
      <c r="H651">
        <v>3277004535</v>
      </c>
      <c r="I651" t="s">
        <v>2300</v>
      </c>
    </row>
    <row r="652" spans="1:9" ht="86.4">
      <c r="A652" t="s">
        <v>3498</v>
      </c>
      <c r="B652" t="s">
        <v>1116</v>
      </c>
      <c r="C652" s="1">
        <v>33635</v>
      </c>
      <c r="D652" t="s">
        <v>10</v>
      </c>
      <c r="E652">
        <v>2285704240</v>
      </c>
      <c r="F652" t="s">
        <v>2301</v>
      </c>
      <c r="G652" s="2" t="s">
        <v>2302</v>
      </c>
      <c r="H652">
        <v>5690448467</v>
      </c>
      <c r="I652" t="s">
        <v>2303</v>
      </c>
    </row>
    <row r="653" spans="1:9" ht="86.4">
      <c r="A653" t="s">
        <v>3459</v>
      </c>
      <c r="B653" t="s">
        <v>330</v>
      </c>
      <c r="C653" s="1">
        <v>26036</v>
      </c>
      <c r="D653" t="s">
        <v>10</v>
      </c>
      <c r="E653">
        <v>8770062394</v>
      </c>
      <c r="F653" t="s">
        <v>2304</v>
      </c>
      <c r="G653" s="2" t="s">
        <v>2305</v>
      </c>
      <c r="H653">
        <v>3871628335</v>
      </c>
      <c r="I653" t="s">
        <v>2306</v>
      </c>
    </row>
    <row r="654" spans="1:9" ht="57.6">
      <c r="A654" t="s">
        <v>3445</v>
      </c>
      <c r="B654" t="s">
        <v>191</v>
      </c>
      <c r="C654" s="1">
        <v>18247</v>
      </c>
      <c r="D654" t="s">
        <v>28</v>
      </c>
      <c r="E654">
        <v>915337435670</v>
      </c>
      <c r="F654" t="s">
        <v>2307</v>
      </c>
      <c r="G654" s="2" t="s">
        <v>2308</v>
      </c>
      <c r="H654">
        <v>5055362917</v>
      </c>
      <c r="I654" t="s">
        <v>2309</v>
      </c>
    </row>
    <row r="655" spans="1:9" ht="72">
      <c r="A655" t="s">
        <v>3419</v>
      </c>
      <c r="B655" t="s">
        <v>1920</v>
      </c>
      <c r="C655" s="1">
        <v>34969</v>
      </c>
      <c r="D655" t="s">
        <v>15</v>
      </c>
      <c r="E655">
        <v>2520788216</v>
      </c>
      <c r="F655" t="s">
        <v>2310</v>
      </c>
      <c r="G655" s="2" t="s">
        <v>2311</v>
      </c>
      <c r="H655">
        <v>9473088240</v>
      </c>
      <c r="I655" t="s">
        <v>2312</v>
      </c>
    </row>
    <row r="656" spans="1:9" ht="86.4">
      <c r="A656" t="s">
        <v>3518</v>
      </c>
      <c r="B656" t="s">
        <v>2313</v>
      </c>
      <c r="C656" s="1">
        <v>24928</v>
      </c>
      <c r="D656" t="s">
        <v>10</v>
      </c>
      <c r="E656">
        <v>912936340941</v>
      </c>
      <c r="F656" t="s">
        <v>2314</v>
      </c>
      <c r="G656" s="2" t="s">
        <v>2315</v>
      </c>
      <c r="H656">
        <v>6018911343</v>
      </c>
      <c r="I656" t="s">
        <v>2316</v>
      </c>
    </row>
    <row r="657" spans="1:9" ht="72">
      <c r="A657" t="s">
        <v>3593</v>
      </c>
      <c r="B657" t="s">
        <v>452</v>
      </c>
      <c r="C657" s="1">
        <v>28574</v>
      </c>
      <c r="D657" t="s">
        <v>15</v>
      </c>
      <c r="E657">
        <v>2768612734</v>
      </c>
      <c r="F657" t="s">
        <v>2317</v>
      </c>
      <c r="G657" s="2" t="s">
        <v>2318</v>
      </c>
      <c r="H657">
        <v>8819664523</v>
      </c>
      <c r="I657" t="s">
        <v>2319</v>
      </c>
    </row>
    <row r="658" spans="1:9" ht="72">
      <c r="A658" t="s">
        <v>3422</v>
      </c>
      <c r="B658" t="s">
        <v>2320</v>
      </c>
      <c r="C658" s="1">
        <v>22603</v>
      </c>
      <c r="D658" t="s">
        <v>15</v>
      </c>
      <c r="E658">
        <v>6831723667</v>
      </c>
      <c r="F658" t="s">
        <v>2321</v>
      </c>
      <c r="G658" s="2" t="s">
        <v>2322</v>
      </c>
      <c r="H658">
        <v>6071487650</v>
      </c>
      <c r="I658" t="s">
        <v>2323</v>
      </c>
    </row>
    <row r="659" spans="1:9">
      <c r="A659" t="s">
        <v>3599</v>
      </c>
      <c r="B659" t="s">
        <v>872</v>
      </c>
      <c r="C659" s="1">
        <v>38345</v>
      </c>
      <c r="D659" t="s">
        <v>28</v>
      </c>
      <c r="E659">
        <v>3160378110</v>
      </c>
      <c r="F659" t="s">
        <v>2324</v>
      </c>
      <c r="G659" t="s">
        <v>2325</v>
      </c>
      <c r="H659">
        <v>2337007158</v>
      </c>
      <c r="I659" t="s">
        <v>2326</v>
      </c>
    </row>
    <row r="660" spans="1:9">
      <c r="A660" t="s">
        <v>3466</v>
      </c>
      <c r="B660" t="s">
        <v>508</v>
      </c>
      <c r="C660" s="1">
        <v>24032</v>
      </c>
      <c r="D660" t="s">
        <v>15</v>
      </c>
      <c r="E660">
        <v>913430658744</v>
      </c>
      <c r="F660" t="s">
        <v>2327</v>
      </c>
      <c r="G660" t="s">
        <v>2328</v>
      </c>
      <c r="H660">
        <v>1960348236</v>
      </c>
      <c r="I660" t="s">
        <v>2329</v>
      </c>
    </row>
    <row r="661" spans="1:9" ht="72">
      <c r="A661" t="s">
        <v>3456</v>
      </c>
      <c r="B661" t="s">
        <v>1461</v>
      </c>
      <c r="C661" s="1">
        <v>33607</v>
      </c>
      <c r="D661" t="s">
        <v>28</v>
      </c>
      <c r="E661">
        <v>912380043647</v>
      </c>
      <c r="F661" t="s">
        <v>2330</v>
      </c>
      <c r="G661" s="2" t="s">
        <v>2331</v>
      </c>
      <c r="H661">
        <v>7760145840</v>
      </c>
      <c r="I661" t="s">
        <v>2332</v>
      </c>
    </row>
    <row r="662" spans="1:9" ht="72">
      <c r="A662" t="s">
        <v>3515</v>
      </c>
      <c r="B662" t="s">
        <v>1243</v>
      </c>
      <c r="C662" s="1">
        <v>20629</v>
      </c>
      <c r="D662" t="s">
        <v>10</v>
      </c>
      <c r="E662">
        <v>4361168611</v>
      </c>
      <c r="F662" t="s">
        <v>2333</v>
      </c>
      <c r="G662" s="2" t="s">
        <v>2334</v>
      </c>
      <c r="H662">
        <v>6843771403</v>
      </c>
      <c r="I662" t="s">
        <v>2335</v>
      </c>
    </row>
    <row r="663" spans="1:9" ht="72">
      <c r="A663" t="s">
        <v>3556</v>
      </c>
      <c r="B663" t="s">
        <v>1133</v>
      </c>
      <c r="C663" s="1">
        <v>18539</v>
      </c>
      <c r="D663" t="s">
        <v>10</v>
      </c>
      <c r="E663">
        <v>913011962272</v>
      </c>
      <c r="F663" t="s">
        <v>2336</v>
      </c>
      <c r="G663" s="2" t="s">
        <v>2337</v>
      </c>
      <c r="H663">
        <v>9916508113</v>
      </c>
      <c r="I663" t="s">
        <v>2338</v>
      </c>
    </row>
    <row r="664" spans="1:9" ht="72">
      <c r="A664" t="s">
        <v>3493</v>
      </c>
      <c r="B664" t="s">
        <v>2339</v>
      </c>
      <c r="C664" s="1">
        <v>36356</v>
      </c>
      <c r="D664" t="s">
        <v>10</v>
      </c>
      <c r="E664">
        <v>7006279595</v>
      </c>
      <c r="F664" t="s">
        <v>2340</v>
      </c>
      <c r="G664" s="2" t="s">
        <v>2341</v>
      </c>
      <c r="H664">
        <v>1617344794</v>
      </c>
      <c r="I664" t="s">
        <v>2342</v>
      </c>
    </row>
    <row r="665" spans="1:9" ht="72">
      <c r="A665" t="s">
        <v>3600</v>
      </c>
      <c r="B665" t="s">
        <v>2343</v>
      </c>
      <c r="C665" s="1">
        <v>23492</v>
      </c>
      <c r="D665" t="s">
        <v>10</v>
      </c>
      <c r="E665">
        <v>916489710017</v>
      </c>
      <c r="F665" t="s">
        <v>2344</v>
      </c>
      <c r="G665" s="2" t="s">
        <v>2345</v>
      </c>
      <c r="H665">
        <v>5528337287</v>
      </c>
      <c r="I665" t="s">
        <v>2346</v>
      </c>
    </row>
    <row r="666" spans="1:9">
      <c r="A666" t="s">
        <v>3414</v>
      </c>
      <c r="B666" t="s">
        <v>96</v>
      </c>
      <c r="C666" s="1">
        <v>25922</v>
      </c>
      <c r="D666" t="s">
        <v>28</v>
      </c>
      <c r="E666">
        <v>4771158821</v>
      </c>
      <c r="F666" t="s">
        <v>2347</v>
      </c>
      <c r="G666" t="s">
        <v>2348</v>
      </c>
      <c r="H666">
        <v>8309754247</v>
      </c>
      <c r="I666" t="s">
        <v>2349</v>
      </c>
    </row>
    <row r="667" spans="1:9" ht="72">
      <c r="A667" t="s">
        <v>3422</v>
      </c>
      <c r="B667" t="s">
        <v>368</v>
      </c>
      <c r="C667" s="1">
        <v>25094</v>
      </c>
      <c r="D667" t="s">
        <v>28</v>
      </c>
      <c r="E667">
        <v>7700788125</v>
      </c>
      <c r="F667" t="s">
        <v>2350</v>
      </c>
      <c r="G667" s="2" t="s">
        <v>2351</v>
      </c>
      <c r="H667">
        <v>8395716468</v>
      </c>
      <c r="I667" t="s">
        <v>2352</v>
      </c>
    </row>
    <row r="668" spans="1:9" ht="72">
      <c r="A668" t="s">
        <v>3464</v>
      </c>
      <c r="B668" t="s">
        <v>2086</v>
      </c>
      <c r="C668" s="1">
        <v>32584</v>
      </c>
      <c r="D668" t="s">
        <v>10</v>
      </c>
      <c r="E668">
        <v>917037808866</v>
      </c>
      <c r="F668" t="s">
        <v>2353</v>
      </c>
      <c r="G668" s="2" t="s">
        <v>2354</v>
      </c>
      <c r="H668">
        <v>7445657267</v>
      </c>
      <c r="I668" t="s">
        <v>2355</v>
      </c>
    </row>
    <row r="669" spans="1:9" ht="86.4">
      <c r="A669" t="s">
        <v>3477</v>
      </c>
      <c r="B669" t="s">
        <v>2284</v>
      </c>
      <c r="C669" s="1">
        <v>32391</v>
      </c>
      <c r="D669" t="s">
        <v>10</v>
      </c>
      <c r="E669">
        <v>7795003452</v>
      </c>
      <c r="F669" t="s">
        <v>2356</v>
      </c>
      <c r="G669" s="2" t="s">
        <v>2357</v>
      </c>
      <c r="H669">
        <v>6351685224</v>
      </c>
      <c r="I669" t="s">
        <v>2358</v>
      </c>
    </row>
    <row r="670" spans="1:9" ht="72">
      <c r="A670" t="s">
        <v>3604</v>
      </c>
      <c r="B670" t="s">
        <v>1182</v>
      </c>
      <c r="C670" s="1">
        <v>36718</v>
      </c>
      <c r="D670" t="s">
        <v>10</v>
      </c>
      <c r="E670">
        <v>9900536693</v>
      </c>
      <c r="F670" t="s">
        <v>2360</v>
      </c>
      <c r="G670" s="2" t="s">
        <v>2361</v>
      </c>
      <c r="H670">
        <v>3370089423</v>
      </c>
      <c r="I670" t="s">
        <v>2362</v>
      </c>
    </row>
    <row r="671" spans="1:9">
      <c r="A671" t="s">
        <v>3584</v>
      </c>
      <c r="B671" t="s">
        <v>2363</v>
      </c>
      <c r="C671" s="1">
        <v>34798</v>
      </c>
      <c r="D671" t="s">
        <v>28</v>
      </c>
      <c r="E671">
        <v>918838456125</v>
      </c>
      <c r="F671" t="s">
        <v>2364</v>
      </c>
      <c r="G671" t="s">
        <v>2365</v>
      </c>
      <c r="H671">
        <v>2157837926</v>
      </c>
      <c r="I671" t="s">
        <v>2366</v>
      </c>
    </row>
    <row r="672" spans="1:9" ht="86.4">
      <c r="A672" t="s">
        <v>3443</v>
      </c>
      <c r="B672" t="s">
        <v>330</v>
      </c>
      <c r="C672" s="1">
        <v>28481</v>
      </c>
      <c r="D672" t="s">
        <v>10</v>
      </c>
      <c r="E672">
        <v>8593428839</v>
      </c>
      <c r="F672" t="s">
        <v>2367</v>
      </c>
      <c r="G672" s="2" t="s">
        <v>2368</v>
      </c>
      <c r="H672">
        <v>666860673</v>
      </c>
      <c r="I672" t="s">
        <v>2369</v>
      </c>
    </row>
    <row r="673" spans="1:9" ht="72">
      <c r="A673" t="s">
        <v>3605</v>
      </c>
      <c r="B673" t="s">
        <v>1133</v>
      </c>
      <c r="C673" s="1">
        <v>23956</v>
      </c>
      <c r="D673" t="s">
        <v>28</v>
      </c>
      <c r="E673">
        <v>918959103852</v>
      </c>
      <c r="F673" t="s">
        <v>2370</v>
      </c>
      <c r="G673" s="2" t="s">
        <v>2371</v>
      </c>
      <c r="H673">
        <v>9594038955</v>
      </c>
      <c r="I673" t="s">
        <v>2372</v>
      </c>
    </row>
    <row r="674" spans="1:9" ht="72">
      <c r="A674" t="s">
        <v>3430</v>
      </c>
      <c r="B674" t="s">
        <v>88</v>
      </c>
      <c r="C674" s="1">
        <v>19273</v>
      </c>
      <c r="D674" t="s">
        <v>15</v>
      </c>
      <c r="E674">
        <v>7300210273</v>
      </c>
      <c r="F674" t="s">
        <v>2373</v>
      </c>
      <c r="G674" s="2" t="s">
        <v>2374</v>
      </c>
      <c r="H674">
        <v>9109048866</v>
      </c>
      <c r="I674" t="s">
        <v>2375</v>
      </c>
    </row>
    <row r="675" spans="1:9">
      <c r="A675" t="s">
        <v>3552</v>
      </c>
      <c r="B675" t="s">
        <v>1880</v>
      </c>
      <c r="C675" s="1">
        <v>31686</v>
      </c>
      <c r="D675" t="s">
        <v>10</v>
      </c>
      <c r="E675">
        <v>3785954176</v>
      </c>
      <c r="F675" t="s">
        <v>2376</v>
      </c>
      <c r="G675" t="s">
        <v>2377</v>
      </c>
      <c r="H675">
        <v>8780528905</v>
      </c>
      <c r="I675" t="s">
        <v>2378</v>
      </c>
    </row>
    <row r="676" spans="1:9">
      <c r="A676" t="s">
        <v>3458</v>
      </c>
      <c r="B676" t="s">
        <v>601</v>
      </c>
      <c r="C676" s="1">
        <v>28995</v>
      </c>
      <c r="D676" t="s">
        <v>28</v>
      </c>
      <c r="E676">
        <v>1988837434</v>
      </c>
      <c r="F676" t="s">
        <v>2379</v>
      </c>
      <c r="G676" t="s">
        <v>2380</v>
      </c>
      <c r="H676">
        <v>4354869521</v>
      </c>
      <c r="I676" t="s">
        <v>2381</v>
      </c>
    </row>
    <row r="677" spans="1:9">
      <c r="A677" t="s">
        <v>3461</v>
      </c>
      <c r="B677" t="s">
        <v>553</v>
      </c>
      <c r="C677" s="1">
        <v>31395</v>
      </c>
      <c r="D677" t="s">
        <v>28</v>
      </c>
      <c r="E677">
        <v>913546946604</v>
      </c>
      <c r="F677" t="s">
        <v>2382</v>
      </c>
      <c r="G677" t="s">
        <v>2383</v>
      </c>
      <c r="H677">
        <v>8190041589</v>
      </c>
      <c r="I677" t="s">
        <v>2384</v>
      </c>
    </row>
    <row r="678" spans="1:9">
      <c r="A678" t="s">
        <v>3603</v>
      </c>
      <c r="B678" t="s">
        <v>1952</v>
      </c>
      <c r="C678" s="1">
        <v>17858</v>
      </c>
      <c r="D678" t="s">
        <v>28</v>
      </c>
      <c r="E678">
        <v>913855002957</v>
      </c>
      <c r="F678" t="s">
        <v>2385</v>
      </c>
      <c r="G678" t="s">
        <v>2386</v>
      </c>
      <c r="H678">
        <v>5055191939</v>
      </c>
      <c r="I678" t="s">
        <v>2387</v>
      </c>
    </row>
    <row r="679" spans="1:9" ht="57.6">
      <c r="A679" t="s">
        <v>3430</v>
      </c>
      <c r="B679" t="s">
        <v>368</v>
      </c>
      <c r="C679" s="1">
        <v>18020</v>
      </c>
      <c r="D679" t="s">
        <v>15</v>
      </c>
      <c r="E679">
        <v>492932850</v>
      </c>
      <c r="F679" t="s">
        <v>2388</v>
      </c>
      <c r="G679" s="2" t="s">
        <v>2389</v>
      </c>
      <c r="H679">
        <v>7177588562</v>
      </c>
      <c r="I679" t="s">
        <v>2390</v>
      </c>
    </row>
    <row r="680" spans="1:9">
      <c r="A680" t="s">
        <v>3511</v>
      </c>
      <c r="B680" t="s">
        <v>572</v>
      </c>
      <c r="C680" s="1">
        <v>28129</v>
      </c>
      <c r="D680" t="s">
        <v>10</v>
      </c>
      <c r="E680">
        <v>2030695165</v>
      </c>
      <c r="F680" t="s">
        <v>2391</v>
      </c>
      <c r="G680" t="s">
        <v>2392</v>
      </c>
      <c r="H680">
        <v>9206231459</v>
      </c>
      <c r="I680" t="s">
        <v>2393</v>
      </c>
    </row>
    <row r="681" spans="1:9">
      <c r="A681" t="s">
        <v>3528</v>
      </c>
      <c r="B681" t="s">
        <v>1543</v>
      </c>
      <c r="C681" s="1">
        <v>32012</v>
      </c>
      <c r="D681" t="s">
        <v>28</v>
      </c>
      <c r="E681">
        <v>8045052112</v>
      </c>
      <c r="F681" t="s">
        <v>2394</v>
      </c>
      <c r="G681" t="s">
        <v>2395</v>
      </c>
      <c r="H681">
        <v>6954495060</v>
      </c>
      <c r="I681" t="s">
        <v>2396</v>
      </c>
    </row>
    <row r="682" spans="1:9" ht="72">
      <c r="A682" t="s">
        <v>3450</v>
      </c>
      <c r="B682" t="s">
        <v>1471</v>
      </c>
      <c r="C682" s="1">
        <v>28569</v>
      </c>
      <c r="D682" t="s">
        <v>10</v>
      </c>
      <c r="E682">
        <v>8398590742</v>
      </c>
      <c r="F682" t="s">
        <v>2397</v>
      </c>
      <c r="G682" s="2" t="s">
        <v>2398</v>
      </c>
      <c r="H682">
        <v>5301647286</v>
      </c>
      <c r="I682" t="s">
        <v>2399</v>
      </c>
    </row>
    <row r="683" spans="1:9" ht="72">
      <c r="A683" t="s">
        <v>3481</v>
      </c>
      <c r="B683" t="s">
        <v>1789</v>
      </c>
      <c r="C683" s="1">
        <v>27456</v>
      </c>
      <c r="D683" t="s">
        <v>28</v>
      </c>
      <c r="E683">
        <v>919761166286</v>
      </c>
      <c r="F683" t="s">
        <v>2400</v>
      </c>
      <c r="G683" s="2" t="s">
        <v>2401</v>
      </c>
      <c r="H683">
        <v>215723125</v>
      </c>
      <c r="I683" t="s">
        <v>2402</v>
      </c>
    </row>
    <row r="684" spans="1:9">
      <c r="A684" t="s">
        <v>3535</v>
      </c>
      <c r="B684" t="s">
        <v>2403</v>
      </c>
      <c r="C684" s="1">
        <v>30776</v>
      </c>
      <c r="D684" t="s">
        <v>10</v>
      </c>
      <c r="E684">
        <v>8949617215</v>
      </c>
      <c r="F684" t="s">
        <v>2404</v>
      </c>
      <c r="G684" t="s">
        <v>2405</v>
      </c>
      <c r="H684">
        <v>2210912944</v>
      </c>
      <c r="I684" t="s">
        <v>2406</v>
      </c>
    </row>
    <row r="685" spans="1:9" ht="72">
      <c r="A685" t="s">
        <v>3591</v>
      </c>
      <c r="B685" t="s">
        <v>1884</v>
      </c>
      <c r="C685" s="1">
        <v>23355</v>
      </c>
      <c r="D685" t="s">
        <v>15</v>
      </c>
      <c r="E685">
        <v>3779824021</v>
      </c>
      <c r="F685" t="s">
        <v>2407</v>
      </c>
      <c r="G685" s="2" t="s">
        <v>2408</v>
      </c>
      <c r="H685">
        <v>8774526348</v>
      </c>
      <c r="I685" t="s">
        <v>2409</v>
      </c>
    </row>
    <row r="686" spans="1:9" ht="72">
      <c r="A686" t="s">
        <v>3417</v>
      </c>
      <c r="B686" t="s">
        <v>2410</v>
      </c>
      <c r="C686" s="1">
        <v>25169</v>
      </c>
      <c r="D686" t="s">
        <v>28</v>
      </c>
      <c r="E686">
        <v>2253511788</v>
      </c>
      <c r="F686" t="s">
        <v>2411</v>
      </c>
      <c r="G686" s="2" t="s">
        <v>2412</v>
      </c>
      <c r="H686">
        <v>7458712075</v>
      </c>
      <c r="I686" t="s">
        <v>2413</v>
      </c>
    </row>
    <row r="687" spans="1:9" ht="57.6">
      <c r="A687" t="s">
        <v>3526</v>
      </c>
      <c r="B687" t="s">
        <v>493</v>
      </c>
      <c r="C687" s="1">
        <v>36469</v>
      </c>
      <c r="D687" t="s">
        <v>28</v>
      </c>
      <c r="E687">
        <v>2621074144</v>
      </c>
      <c r="F687" t="s">
        <v>2414</v>
      </c>
      <c r="G687" s="2" t="s">
        <v>2415</v>
      </c>
      <c r="H687">
        <v>9711533349</v>
      </c>
      <c r="I687" t="s">
        <v>2416</v>
      </c>
    </row>
    <row r="688" spans="1:9" ht="72">
      <c r="A688" t="s">
        <v>3508</v>
      </c>
      <c r="B688" t="s">
        <v>2417</v>
      </c>
      <c r="C688" s="1">
        <v>36376</v>
      </c>
      <c r="D688" t="s">
        <v>15</v>
      </c>
      <c r="E688">
        <v>914344997585</v>
      </c>
      <c r="F688" t="s">
        <v>2418</v>
      </c>
      <c r="G688" s="2" t="s">
        <v>2419</v>
      </c>
      <c r="H688">
        <v>7490331222</v>
      </c>
      <c r="I688" t="s">
        <v>2420</v>
      </c>
    </row>
    <row r="689" spans="1:9" ht="72">
      <c r="A689" t="s">
        <v>3568</v>
      </c>
      <c r="B689" t="s">
        <v>1675</v>
      </c>
      <c r="C689" s="1">
        <v>34871</v>
      </c>
      <c r="D689" t="s">
        <v>10</v>
      </c>
      <c r="E689">
        <v>914836874777</v>
      </c>
      <c r="F689" t="s">
        <v>2421</v>
      </c>
      <c r="G689" s="2" t="s">
        <v>2422</v>
      </c>
      <c r="H689">
        <v>2193868278</v>
      </c>
      <c r="I689" t="s">
        <v>2423</v>
      </c>
    </row>
    <row r="690" spans="1:9">
      <c r="A690" t="s">
        <v>3504</v>
      </c>
      <c r="B690" t="s">
        <v>508</v>
      </c>
      <c r="C690" s="1">
        <v>38965</v>
      </c>
      <c r="D690" t="s">
        <v>28</v>
      </c>
      <c r="E690">
        <v>914596920666</v>
      </c>
      <c r="F690" t="s">
        <v>2424</v>
      </c>
      <c r="G690" t="s">
        <v>2425</v>
      </c>
      <c r="H690">
        <v>1063781704</v>
      </c>
      <c r="I690" t="s">
        <v>2426</v>
      </c>
    </row>
    <row r="691" spans="1:9" ht="100.8">
      <c r="A691" t="s">
        <v>3480</v>
      </c>
      <c r="B691" t="s">
        <v>531</v>
      </c>
      <c r="C691" s="1">
        <v>26229</v>
      </c>
      <c r="D691" t="s">
        <v>15</v>
      </c>
      <c r="E691">
        <v>5585942193</v>
      </c>
      <c r="F691" t="s">
        <v>2427</v>
      </c>
      <c r="G691" s="2" t="s">
        <v>2428</v>
      </c>
      <c r="H691">
        <v>3586134174</v>
      </c>
      <c r="I691" t="s">
        <v>2429</v>
      </c>
    </row>
    <row r="692" spans="1:9" ht="86.4">
      <c r="A692" t="s">
        <v>3585</v>
      </c>
      <c r="B692" t="s">
        <v>1243</v>
      </c>
      <c r="C692" s="1">
        <v>37697</v>
      </c>
      <c r="D692" t="s">
        <v>28</v>
      </c>
      <c r="E692">
        <v>2672339907</v>
      </c>
      <c r="F692" t="s">
        <v>2430</v>
      </c>
      <c r="G692" s="2" t="s">
        <v>2431</v>
      </c>
      <c r="H692">
        <v>2149901086</v>
      </c>
      <c r="I692" t="s">
        <v>2432</v>
      </c>
    </row>
    <row r="693" spans="1:9">
      <c r="A693" t="s">
        <v>3572</v>
      </c>
      <c r="B693" t="s">
        <v>1536</v>
      </c>
      <c r="C693" s="1">
        <v>32809</v>
      </c>
      <c r="D693" t="s">
        <v>28</v>
      </c>
      <c r="E693">
        <v>1573806799</v>
      </c>
      <c r="F693" t="s">
        <v>2433</v>
      </c>
      <c r="G693" t="s">
        <v>2434</v>
      </c>
      <c r="H693">
        <v>5869972459</v>
      </c>
      <c r="I693" t="s">
        <v>2435</v>
      </c>
    </row>
    <row r="694" spans="1:9">
      <c r="A694" t="s">
        <v>3463</v>
      </c>
      <c r="B694" t="s">
        <v>2436</v>
      </c>
      <c r="C694" s="1">
        <v>29978</v>
      </c>
      <c r="D694" t="s">
        <v>28</v>
      </c>
      <c r="E694">
        <v>115491773</v>
      </c>
      <c r="F694" t="s">
        <v>2437</v>
      </c>
      <c r="G694" t="s">
        <v>2438</v>
      </c>
      <c r="H694">
        <v>4470263276</v>
      </c>
      <c r="I694" t="s">
        <v>2439</v>
      </c>
    </row>
    <row r="695" spans="1:9">
      <c r="A695" t="s">
        <v>3606</v>
      </c>
      <c r="B695" t="s">
        <v>553</v>
      </c>
      <c r="C695" s="1">
        <v>28873</v>
      </c>
      <c r="D695" t="s">
        <v>10</v>
      </c>
      <c r="E695">
        <v>6694947155</v>
      </c>
      <c r="F695" t="s">
        <v>2440</v>
      </c>
      <c r="G695" t="s">
        <v>2441</v>
      </c>
      <c r="H695">
        <v>4503754807</v>
      </c>
      <c r="I695" t="s">
        <v>2442</v>
      </c>
    </row>
    <row r="696" spans="1:9" ht="72">
      <c r="A696" t="s">
        <v>3526</v>
      </c>
      <c r="B696" t="s">
        <v>2070</v>
      </c>
      <c r="C696" s="1">
        <v>32251</v>
      </c>
      <c r="D696" t="s">
        <v>15</v>
      </c>
      <c r="E696">
        <v>912913696480</v>
      </c>
      <c r="F696" t="s">
        <v>2443</v>
      </c>
      <c r="G696" s="2" t="s">
        <v>2444</v>
      </c>
      <c r="H696">
        <v>6583879633</v>
      </c>
      <c r="I696" t="s">
        <v>2445</v>
      </c>
    </row>
    <row r="697" spans="1:9" ht="86.4">
      <c r="A697" t="s">
        <v>3484</v>
      </c>
      <c r="B697" t="s">
        <v>755</v>
      </c>
      <c r="C697" s="1">
        <v>28561</v>
      </c>
      <c r="D697" t="s">
        <v>15</v>
      </c>
      <c r="E697">
        <v>332739974</v>
      </c>
      <c r="F697" t="s">
        <v>2446</v>
      </c>
      <c r="G697" s="2" t="s">
        <v>2447</v>
      </c>
      <c r="H697">
        <v>7797383306</v>
      </c>
      <c r="I697" t="s">
        <v>2448</v>
      </c>
    </row>
    <row r="698" spans="1:9" ht="72">
      <c r="A698" t="s">
        <v>3413</v>
      </c>
      <c r="B698" t="s">
        <v>2449</v>
      </c>
      <c r="C698" s="1">
        <v>30953</v>
      </c>
      <c r="D698" t="s">
        <v>15</v>
      </c>
      <c r="E698">
        <v>3505260270</v>
      </c>
      <c r="F698" t="s">
        <v>2450</v>
      </c>
      <c r="G698" s="2" t="s">
        <v>2451</v>
      </c>
      <c r="H698">
        <v>7459984133</v>
      </c>
      <c r="I698" t="s">
        <v>2452</v>
      </c>
    </row>
    <row r="699" spans="1:9" ht="100.8">
      <c r="A699" t="s">
        <v>3431</v>
      </c>
      <c r="B699" t="s">
        <v>512</v>
      </c>
      <c r="C699" s="1">
        <v>32212</v>
      </c>
      <c r="D699" t="s">
        <v>15</v>
      </c>
      <c r="E699">
        <v>910651064070</v>
      </c>
      <c r="F699" t="s">
        <v>2453</v>
      </c>
      <c r="G699" s="2" t="s">
        <v>2454</v>
      </c>
      <c r="H699">
        <v>9272809031</v>
      </c>
      <c r="I699" t="s">
        <v>2455</v>
      </c>
    </row>
    <row r="700" spans="1:9" ht="57.6">
      <c r="A700" t="s">
        <v>3607</v>
      </c>
      <c r="B700" t="s">
        <v>663</v>
      </c>
      <c r="C700" s="1">
        <v>36203</v>
      </c>
      <c r="D700" t="s">
        <v>28</v>
      </c>
      <c r="E700">
        <v>916785984440</v>
      </c>
      <c r="F700" t="s">
        <v>2456</v>
      </c>
      <c r="G700" s="2" t="s">
        <v>2457</v>
      </c>
      <c r="H700">
        <v>9663309235</v>
      </c>
      <c r="I700" t="s">
        <v>2458</v>
      </c>
    </row>
    <row r="701" spans="1:9" ht="57.6">
      <c r="A701" t="s">
        <v>3558</v>
      </c>
      <c r="B701" t="s">
        <v>726</v>
      </c>
      <c r="C701" s="1">
        <v>37791</v>
      </c>
      <c r="D701" t="s">
        <v>10</v>
      </c>
      <c r="E701">
        <v>4027320129</v>
      </c>
      <c r="F701" t="s">
        <v>2459</v>
      </c>
      <c r="G701" s="2" t="s">
        <v>2460</v>
      </c>
      <c r="H701">
        <v>930548473</v>
      </c>
      <c r="I701" t="s">
        <v>2461</v>
      </c>
    </row>
    <row r="702" spans="1:9">
      <c r="A702" t="s">
        <v>3578</v>
      </c>
      <c r="B702" t="s">
        <v>2086</v>
      </c>
      <c r="C702" s="1">
        <v>21564</v>
      </c>
      <c r="D702" t="s">
        <v>15</v>
      </c>
      <c r="E702">
        <v>5538151827</v>
      </c>
      <c r="F702" t="s">
        <v>2462</v>
      </c>
      <c r="G702" t="s">
        <v>2463</v>
      </c>
      <c r="H702">
        <v>8196954487</v>
      </c>
      <c r="I702" t="s">
        <v>2464</v>
      </c>
    </row>
    <row r="703" spans="1:9" ht="72">
      <c r="A703" t="s">
        <v>3518</v>
      </c>
      <c r="B703" t="s">
        <v>2465</v>
      </c>
      <c r="C703" s="1">
        <v>36206</v>
      </c>
      <c r="D703" t="s">
        <v>10</v>
      </c>
      <c r="E703">
        <v>915089244640</v>
      </c>
      <c r="F703" t="s">
        <v>2466</v>
      </c>
      <c r="G703" s="2" t="s">
        <v>2467</v>
      </c>
      <c r="H703">
        <v>7774592541</v>
      </c>
      <c r="I703" t="s">
        <v>2468</v>
      </c>
    </row>
    <row r="704" spans="1:9" ht="57.6">
      <c r="A704" t="s">
        <v>3540</v>
      </c>
      <c r="B704" t="s">
        <v>2469</v>
      </c>
      <c r="C704" s="1">
        <v>29820</v>
      </c>
      <c r="D704" t="s">
        <v>15</v>
      </c>
      <c r="E704">
        <v>7900704559</v>
      </c>
      <c r="F704" t="s">
        <v>2470</v>
      </c>
      <c r="G704" s="2" t="s">
        <v>2471</v>
      </c>
      <c r="H704">
        <v>276749064</v>
      </c>
      <c r="I704" t="s">
        <v>2472</v>
      </c>
    </row>
    <row r="705" spans="1:9" ht="57.6">
      <c r="A705" t="s">
        <v>3494</v>
      </c>
      <c r="B705" t="s">
        <v>1075</v>
      </c>
      <c r="C705" s="1">
        <v>19386</v>
      </c>
      <c r="D705" t="s">
        <v>15</v>
      </c>
      <c r="E705">
        <v>5134170054</v>
      </c>
      <c r="F705" t="s">
        <v>2473</v>
      </c>
      <c r="G705" s="2" t="s">
        <v>2474</v>
      </c>
      <c r="H705">
        <v>9504910860</v>
      </c>
      <c r="I705" t="s">
        <v>2475</v>
      </c>
    </row>
    <row r="706" spans="1:9">
      <c r="A706" t="s">
        <v>3571</v>
      </c>
      <c r="B706" t="s">
        <v>557</v>
      </c>
      <c r="C706" s="1">
        <v>36865</v>
      </c>
      <c r="D706" t="s">
        <v>28</v>
      </c>
      <c r="E706">
        <v>911979336860</v>
      </c>
      <c r="F706" t="s">
        <v>2476</v>
      </c>
      <c r="G706" t="s">
        <v>2477</v>
      </c>
      <c r="H706">
        <v>4009333963</v>
      </c>
      <c r="I706" t="s">
        <v>2478</v>
      </c>
    </row>
    <row r="707" spans="1:9" ht="72">
      <c r="A707" t="s">
        <v>3571</v>
      </c>
      <c r="B707" t="s">
        <v>1962</v>
      </c>
      <c r="C707" s="1">
        <v>28950</v>
      </c>
      <c r="D707" t="s">
        <v>28</v>
      </c>
      <c r="E707">
        <v>2188938447</v>
      </c>
      <c r="F707" t="s">
        <v>2479</v>
      </c>
      <c r="G707" s="2" t="s">
        <v>2480</v>
      </c>
      <c r="H707">
        <v>4047832796</v>
      </c>
      <c r="I707" t="s">
        <v>2481</v>
      </c>
    </row>
    <row r="708" spans="1:9">
      <c r="A708" t="s">
        <v>3608</v>
      </c>
      <c r="B708" t="s">
        <v>2482</v>
      </c>
      <c r="C708" s="1">
        <v>31489</v>
      </c>
      <c r="D708" t="s">
        <v>28</v>
      </c>
      <c r="E708">
        <v>7449924687</v>
      </c>
      <c r="F708" t="s">
        <v>2483</v>
      </c>
      <c r="G708" t="s">
        <v>2484</v>
      </c>
      <c r="H708">
        <v>9649666811</v>
      </c>
      <c r="I708" t="s">
        <v>2485</v>
      </c>
    </row>
    <row r="709" spans="1:9" ht="57.6">
      <c r="A709" t="s">
        <v>3560</v>
      </c>
      <c r="B709" t="s">
        <v>2270</v>
      </c>
      <c r="C709" s="1">
        <v>33489</v>
      </c>
      <c r="D709" t="s">
        <v>10</v>
      </c>
      <c r="E709">
        <v>2468722037</v>
      </c>
      <c r="F709" t="s">
        <v>2486</v>
      </c>
      <c r="G709" s="2" t="s">
        <v>2487</v>
      </c>
      <c r="H709">
        <v>6578680055</v>
      </c>
      <c r="I709" t="s">
        <v>2488</v>
      </c>
    </row>
    <row r="710" spans="1:9" ht="72">
      <c r="A710" t="s">
        <v>3567</v>
      </c>
      <c r="B710" t="s">
        <v>2489</v>
      </c>
      <c r="C710" s="1">
        <v>23166</v>
      </c>
      <c r="D710" t="s">
        <v>28</v>
      </c>
      <c r="E710">
        <v>3270561465</v>
      </c>
      <c r="F710" t="s">
        <v>2490</v>
      </c>
      <c r="G710" s="2" t="s">
        <v>2491</v>
      </c>
      <c r="H710">
        <v>8505651335</v>
      </c>
      <c r="I710" t="s">
        <v>2492</v>
      </c>
    </row>
    <row r="711" spans="1:9" ht="100.8">
      <c r="A711" t="s">
        <v>3512</v>
      </c>
      <c r="B711" t="s">
        <v>1663</v>
      </c>
      <c r="C711" s="1">
        <v>31811</v>
      </c>
      <c r="D711" t="s">
        <v>28</v>
      </c>
      <c r="E711">
        <v>7663279042</v>
      </c>
      <c r="F711" t="s">
        <v>2493</v>
      </c>
      <c r="G711" s="2" t="s">
        <v>2494</v>
      </c>
      <c r="H711">
        <v>9905270259</v>
      </c>
      <c r="I711" t="s">
        <v>2495</v>
      </c>
    </row>
    <row r="712" spans="1:9" ht="100.8">
      <c r="A712" t="s">
        <v>3496</v>
      </c>
      <c r="B712" t="s">
        <v>2496</v>
      </c>
      <c r="C712" s="1">
        <v>25584</v>
      </c>
      <c r="D712" t="s">
        <v>15</v>
      </c>
      <c r="E712">
        <v>917751306109</v>
      </c>
      <c r="F712" t="s">
        <v>2497</v>
      </c>
      <c r="G712" s="2" t="s">
        <v>2498</v>
      </c>
      <c r="H712">
        <v>2666560233</v>
      </c>
      <c r="I712" t="s">
        <v>2499</v>
      </c>
    </row>
    <row r="713" spans="1:9" ht="86.4">
      <c r="A713" t="s">
        <v>3469</v>
      </c>
      <c r="B713" t="s">
        <v>851</v>
      </c>
      <c r="C713" s="1">
        <v>29103</v>
      </c>
      <c r="D713" t="s">
        <v>15</v>
      </c>
      <c r="E713">
        <v>5526720367</v>
      </c>
      <c r="F713" t="s">
        <v>2500</v>
      </c>
      <c r="G713" s="2" t="s">
        <v>2501</v>
      </c>
      <c r="H713">
        <v>9323539330</v>
      </c>
      <c r="I713" t="s">
        <v>2502</v>
      </c>
    </row>
    <row r="714" spans="1:9" ht="72">
      <c r="A714" t="s">
        <v>3466</v>
      </c>
      <c r="B714" t="s">
        <v>1329</v>
      </c>
      <c r="C714" s="1">
        <v>29585</v>
      </c>
      <c r="D714" t="s">
        <v>28</v>
      </c>
      <c r="E714">
        <v>917943218302</v>
      </c>
      <c r="F714" t="s">
        <v>2503</v>
      </c>
      <c r="G714" s="2" t="s">
        <v>2504</v>
      </c>
      <c r="H714">
        <v>933465336</v>
      </c>
      <c r="I714" t="s">
        <v>2505</v>
      </c>
    </row>
    <row r="715" spans="1:9" ht="72">
      <c r="A715" t="s">
        <v>3458</v>
      </c>
      <c r="B715" t="s">
        <v>372</v>
      </c>
      <c r="C715" s="1">
        <v>29396</v>
      </c>
      <c r="D715" t="s">
        <v>28</v>
      </c>
      <c r="E715">
        <v>98416437</v>
      </c>
      <c r="F715" t="s">
        <v>2506</v>
      </c>
      <c r="G715" s="2" t="s">
        <v>2507</v>
      </c>
      <c r="H715">
        <v>7856817697</v>
      </c>
      <c r="I715" t="s">
        <v>2508</v>
      </c>
    </row>
    <row r="716" spans="1:9">
      <c r="A716" t="s">
        <v>3552</v>
      </c>
      <c r="B716" t="s">
        <v>376</v>
      </c>
      <c r="C716" s="1">
        <v>23766</v>
      </c>
      <c r="D716" t="s">
        <v>10</v>
      </c>
      <c r="E716">
        <v>911055916983</v>
      </c>
      <c r="F716" t="s">
        <v>2509</v>
      </c>
      <c r="G716" t="s">
        <v>2510</v>
      </c>
      <c r="H716">
        <v>7650946207</v>
      </c>
      <c r="I716" t="s">
        <v>2511</v>
      </c>
    </row>
    <row r="717" spans="1:9" ht="72">
      <c r="A717" t="s">
        <v>3554</v>
      </c>
      <c r="B717" t="s">
        <v>210</v>
      </c>
      <c r="C717" s="1">
        <v>38177</v>
      </c>
      <c r="D717" t="s">
        <v>10</v>
      </c>
      <c r="E717">
        <v>916026118680</v>
      </c>
      <c r="F717" t="s">
        <v>2512</v>
      </c>
      <c r="G717" s="2" t="s">
        <v>2513</v>
      </c>
      <c r="H717">
        <v>7777014972</v>
      </c>
      <c r="I717" t="s">
        <v>2514</v>
      </c>
    </row>
    <row r="718" spans="1:9" ht="100.8">
      <c r="A718" t="s">
        <v>3585</v>
      </c>
      <c r="B718" t="s">
        <v>831</v>
      </c>
      <c r="C718" s="1">
        <v>36101</v>
      </c>
      <c r="D718" t="s">
        <v>15</v>
      </c>
      <c r="E718">
        <v>6460773595</v>
      </c>
      <c r="F718" t="s">
        <v>2515</v>
      </c>
      <c r="G718" s="2" t="s">
        <v>2516</v>
      </c>
      <c r="H718">
        <v>6748673581</v>
      </c>
      <c r="I718" t="s">
        <v>2517</v>
      </c>
    </row>
    <row r="719" spans="1:9">
      <c r="A719" t="s">
        <v>3518</v>
      </c>
      <c r="B719" t="s">
        <v>2359</v>
      </c>
      <c r="C719" s="1">
        <v>29039</v>
      </c>
      <c r="D719" t="s">
        <v>10</v>
      </c>
      <c r="E719">
        <v>3599584383</v>
      </c>
      <c r="F719" t="s">
        <v>2518</v>
      </c>
      <c r="G719" t="s">
        <v>2519</v>
      </c>
      <c r="H719">
        <v>7191969933</v>
      </c>
      <c r="I719" t="s">
        <v>2520</v>
      </c>
    </row>
    <row r="720" spans="1:9" ht="72">
      <c r="A720" t="s">
        <v>3521</v>
      </c>
      <c r="B720" t="s">
        <v>72</v>
      </c>
      <c r="C720" s="1">
        <v>23214</v>
      </c>
      <c r="D720" t="s">
        <v>28</v>
      </c>
      <c r="E720">
        <v>915682875335</v>
      </c>
      <c r="F720" t="s">
        <v>2521</v>
      </c>
      <c r="G720" s="2" t="s">
        <v>2522</v>
      </c>
      <c r="H720">
        <v>4517392229</v>
      </c>
      <c r="I720" t="s">
        <v>2523</v>
      </c>
    </row>
    <row r="721" spans="1:9">
      <c r="A721" t="s">
        <v>3548</v>
      </c>
      <c r="B721" t="s">
        <v>1913</v>
      </c>
      <c r="C721" s="1">
        <v>34008</v>
      </c>
      <c r="D721" t="s">
        <v>28</v>
      </c>
      <c r="E721">
        <v>7505577791</v>
      </c>
      <c r="F721" t="s">
        <v>2524</v>
      </c>
      <c r="G721" t="s">
        <v>2525</v>
      </c>
      <c r="H721">
        <v>2094803695</v>
      </c>
      <c r="I721" t="s">
        <v>2526</v>
      </c>
    </row>
    <row r="722" spans="1:9" ht="72">
      <c r="A722" t="s">
        <v>3454</v>
      </c>
      <c r="B722" t="s">
        <v>803</v>
      </c>
      <c r="C722" s="1">
        <v>31145</v>
      </c>
      <c r="D722" t="s">
        <v>15</v>
      </c>
      <c r="E722">
        <v>7088550694</v>
      </c>
      <c r="F722" t="s">
        <v>2527</v>
      </c>
      <c r="G722" s="2" t="s">
        <v>2528</v>
      </c>
      <c r="H722">
        <v>6991329357</v>
      </c>
      <c r="I722" t="s">
        <v>2529</v>
      </c>
    </row>
    <row r="723" spans="1:9" ht="72">
      <c r="A723" t="s">
        <v>3527</v>
      </c>
      <c r="B723" t="s">
        <v>108</v>
      </c>
      <c r="C723" s="1">
        <v>35639</v>
      </c>
      <c r="D723" t="s">
        <v>28</v>
      </c>
      <c r="E723">
        <v>347560164</v>
      </c>
      <c r="F723" t="s">
        <v>2530</v>
      </c>
      <c r="G723" s="2" t="s">
        <v>2531</v>
      </c>
      <c r="H723">
        <v>7343466095</v>
      </c>
      <c r="I723" t="s">
        <v>2532</v>
      </c>
    </row>
    <row r="724" spans="1:9" ht="72">
      <c r="A724" t="s">
        <v>3537</v>
      </c>
      <c r="B724" t="s">
        <v>414</v>
      </c>
      <c r="C724" s="1">
        <v>19740</v>
      </c>
      <c r="D724" t="s">
        <v>28</v>
      </c>
      <c r="E724">
        <v>917951635214</v>
      </c>
      <c r="F724" t="s">
        <v>2533</v>
      </c>
      <c r="G724" s="2" t="s">
        <v>2534</v>
      </c>
      <c r="H724">
        <v>3366502859</v>
      </c>
      <c r="I724" t="s">
        <v>2535</v>
      </c>
    </row>
    <row r="725" spans="1:9">
      <c r="A725" t="s">
        <v>3454</v>
      </c>
      <c r="B725" t="s">
        <v>40</v>
      </c>
      <c r="C725" s="1">
        <v>27103</v>
      </c>
      <c r="D725" t="s">
        <v>28</v>
      </c>
      <c r="E725">
        <v>7829052492</v>
      </c>
      <c r="F725" t="s">
        <v>2536</v>
      </c>
      <c r="G725" t="s">
        <v>2537</v>
      </c>
      <c r="H725">
        <v>9391426520</v>
      </c>
      <c r="I725" t="s">
        <v>2538</v>
      </c>
    </row>
    <row r="726" spans="1:9">
      <c r="A726" t="s">
        <v>3609</v>
      </c>
      <c r="B726" t="s">
        <v>568</v>
      </c>
      <c r="C726" s="1">
        <v>30405</v>
      </c>
      <c r="D726" t="s">
        <v>28</v>
      </c>
      <c r="E726">
        <v>4469888665</v>
      </c>
      <c r="F726" t="s">
        <v>2539</v>
      </c>
      <c r="G726" t="s">
        <v>2540</v>
      </c>
      <c r="H726">
        <v>1801130852</v>
      </c>
      <c r="I726" t="s">
        <v>2541</v>
      </c>
    </row>
    <row r="727" spans="1:9" ht="72">
      <c r="A727" t="s">
        <v>3511</v>
      </c>
      <c r="B727" t="s">
        <v>1243</v>
      </c>
      <c r="C727" s="1">
        <v>24058</v>
      </c>
      <c r="D727" t="s">
        <v>10</v>
      </c>
      <c r="E727">
        <v>224626713</v>
      </c>
      <c r="F727" t="s">
        <v>2542</v>
      </c>
      <c r="G727" s="2" t="s">
        <v>2543</v>
      </c>
      <c r="H727">
        <v>6740877210</v>
      </c>
      <c r="I727" t="s">
        <v>2544</v>
      </c>
    </row>
    <row r="728" spans="1:9" ht="72">
      <c r="A728" t="s">
        <v>3542</v>
      </c>
      <c r="B728" t="s">
        <v>497</v>
      </c>
      <c r="C728" s="1">
        <v>37496</v>
      </c>
      <c r="D728" t="s">
        <v>10</v>
      </c>
      <c r="E728">
        <v>1097247254</v>
      </c>
      <c r="F728" t="s">
        <v>2545</v>
      </c>
      <c r="G728" s="2" t="s">
        <v>2546</v>
      </c>
      <c r="H728">
        <v>3632786807</v>
      </c>
      <c r="I728" t="s">
        <v>2547</v>
      </c>
    </row>
    <row r="729" spans="1:9" ht="72">
      <c r="A729" t="s">
        <v>3491</v>
      </c>
      <c r="B729" t="s">
        <v>553</v>
      </c>
      <c r="C729" s="1">
        <v>33092</v>
      </c>
      <c r="D729" t="s">
        <v>10</v>
      </c>
      <c r="E729">
        <v>5931169921</v>
      </c>
      <c r="F729" t="s">
        <v>2548</v>
      </c>
      <c r="G729" s="2" t="s">
        <v>2549</v>
      </c>
      <c r="H729">
        <v>7686621380</v>
      </c>
      <c r="I729" t="s">
        <v>2550</v>
      </c>
    </row>
    <row r="730" spans="1:9">
      <c r="A730" t="s">
        <v>3473</v>
      </c>
      <c r="B730" t="s">
        <v>437</v>
      </c>
      <c r="C730" s="1">
        <v>24734</v>
      </c>
      <c r="D730" t="s">
        <v>10</v>
      </c>
      <c r="E730">
        <v>2259551330</v>
      </c>
      <c r="F730" t="s">
        <v>2551</v>
      </c>
      <c r="G730" t="s">
        <v>2552</v>
      </c>
      <c r="H730">
        <v>504173722</v>
      </c>
      <c r="I730" t="s">
        <v>2553</v>
      </c>
    </row>
    <row r="731" spans="1:9" ht="86.4">
      <c r="A731" t="s">
        <v>3500</v>
      </c>
      <c r="B731" t="s">
        <v>2237</v>
      </c>
      <c r="C731" s="1">
        <v>18809</v>
      </c>
      <c r="D731" t="s">
        <v>10</v>
      </c>
      <c r="E731">
        <v>3238128171</v>
      </c>
      <c r="F731" t="s">
        <v>2554</v>
      </c>
      <c r="G731" s="2" t="s">
        <v>2555</v>
      </c>
      <c r="H731">
        <v>2306594003</v>
      </c>
      <c r="I731" t="s">
        <v>2556</v>
      </c>
    </row>
    <row r="732" spans="1:9" ht="57.6">
      <c r="A732" t="s">
        <v>3526</v>
      </c>
      <c r="B732" t="s">
        <v>2557</v>
      </c>
      <c r="C732" s="1">
        <v>20130</v>
      </c>
      <c r="D732" t="s">
        <v>15</v>
      </c>
      <c r="E732">
        <v>21824140</v>
      </c>
      <c r="F732" t="s">
        <v>2558</v>
      </c>
      <c r="G732" s="2" t="s">
        <v>2559</v>
      </c>
      <c r="H732">
        <v>4334421065</v>
      </c>
      <c r="I732" t="s">
        <v>2560</v>
      </c>
    </row>
    <row r="733" spans="1:9" ht="57.6">
      <c r="A733" t="s">
        <v>3597</v>
      </c>
      <c r="B733" t="s">
        <v>2561</v>
      </c>
      <c r="C733" s="1">
        <v>22780</v>
      </c>
      <c r="D733" t="s">
        <v>28</v>
      </c>
      <c r="E733">
        <v>913555794207</v>
      </c>
      <c r="F733" t="s">
        <v>2562</v>
      </c>
      <c r="G733" s="2" t="s">
        <v>2563</v>
      </c>
      <c r="H733">
        <v>3877123981</v>
      </c>
      <c r="I733" t="s">
        <v>2564</v>
      </c>
    </row>
    <row r="734" spans="1:9" ht="86.4">
      <c r="A734" t="s">
        <v>3555</v>
      </c>
      <c r="B734" t="s">
        <v>1671</v>
      </c>
      <c r="C734" s="1">
        <v>30420</v>
      </c>
      <c r="D734" t="s">
        <v>15</v>
      </c>
      <c r="E734">
        <v>3045194558</v>
      </c>
      <c r="F734" t="s">
        <v>2565</v>
      </c>
      <c r="G734" s="2" t="s">
        <v>2566</v>
      </c>
      <c r="H734">
        <v>5939185362</v>
      </c>
      <c r="I734" t="s">
        <v>2567</v>
      </c>
    </row>
    <row r="735" spans="1:9" ht="72">
      <c r="A735" t="s">
        <v>3511</v>
      </c>
      <c r="B735" t="s">
        <v>1361</v>
      </c>
      <c r="C735" s="1">
        <v>19843</v>
      </c>
      <c r="D735" t="s">
        <v>28</v>
      </c>
      <c r="E735">
        <v>9540638567</v>
      </c>
      <c r="F735" t="s">
        <v>2568</v>
      </c>
      <c r="G735" s="2" t="s">
        <v>2569</v>
      </c>
      <c r="H735">
        <v>9677888922</v>
      </c>
      <c r="I735" t="s">
        <v>2570</v>
      </c>
    </row>
    <row r="736" spans="1:9" ht="72">
      <c r="A736" t="s">
        <v>3471</v>
      </c>
      <c r="B736" t="s">
        <v>2571</v>
      </c>
      <c r="C736" s="1">
        <v>36941</v>
      </c>
      <c r="D736" t="s">
        <v>28</v>
      </c>
      <c r="E736">
        <v>4711246175</v>
      </c>
      <c r="F736" t="s">
        <v>2572</v>
      </c>
      <c r="G736" s="2" t="s">
        <v>2573</v>
      </c>
      <c r="H736">
        <v>4986711018</v>
      </c>
      <c r="I736" t="s">
        <v>2574</v>
      </c>
    </row>
    <row r="737" spans="1:9" ht="72">
      <c r="A737" t="s">
        <v>3545</v>
      </c>
      <c r="B737" t="s">
        <v>2482</v>
      </c>
      <c r="C737" s="1">
        <v>24917</v>
      </c>
      <c r="D737" t="s">
        <v>28</v>
      </c>
      <c r="E737">
        <v>4307324668</v>
      </c>
      <c r="F737" t="s">
        <v>2575</v>
      </c>
      <c r="G737" s="2" t="s">
        <v>2576</v>
      </c>
      <c r="H737">
        <v>8113018643</v>
      </c>
      <c r="I737" t="s">
        <v>2577</v>
      </c>
    </row>
    <row r="738" spans="1:9" ht="86.4">
      <c r="A738" t="s">
        <v>3610</v>
      </c>
      <c r="B738" t="s">
        <v>1823</v>
      </c>
      <c r="C738" s="1">
        <v>20926</v>
      </c>
      <c r="D738" t="s">
        <v>15</v>
      </c>
      <c r="E738">
        <v>917591700343</v>
      </c>
      <c r="F738" t="s">
        <v>2578</v>
      </c>
      <c r="G738" s="2" t="s">
        <v>2579</v>
      </c>
      <c r="H738">
        <v>1902060713</v>
      </c>
      <c r="I738" t="s">
        <v>2580</v>
      </c>
    </row>
    <row r="739" spans="1:9" ht="57.6">
      <c r="A739" t="s">
        <v>3430</v>
      </c>
      <c r="B739" t="s">
        <v>561</v>
      </c>
      <c r="C739" s="1">
        <v>25514</v>
      </c>
      <c r="D739" t="s">
        <v>28</v>
      </c>
      <c r="E739">
        <v>2673538425</v>
      </c>
      <c r="F739" t="s">
        <v>2581</v>
      </c>
      <c r="G739" s="2" t="s">
        <v>2582</v>
      </c>
      <c r="H739">
        <v>8295081499</v>
      </c>
      <c r="I739" t="s">
        <v>2583</v>
      </c>
    </row>
    <row r="740" spans="1:9">
      <c r="A740" t="s">
        <v>3558</v>
      </c>
      <c r="B740" t="s">
        <v>2584</v>
      </c>
      <c r="C740" s="1">
        <v>38344</v>
      </c>
      <c r="D740" t="s">
        <v>28</v>
      </c>
      <c r="E740">
        <v>8035288050</v>
      </c>
      <c r="F740" t="s">
        <v>2585</v>
      </c>
      <c r="G740" t="s">
        <v>2586</v>
      </c>
      <c r="H740">
        <v>9649304640</v>
      </c>
      <c r="I740" t="s">
        <v>2587</v>
      </c>
    </row>
    <row r="741" spans="1:9" ht="86.4">
      <c r="A741" t="s">
        <v>3462</v>
      </c>
      <c r="B741" t="s">
        <v>172</v>
      </c>
      <c r="C741" s="1">
        <v>28623</v>
      </c>
      <c r="D741" t="s">
        <v>10</v>
      </c>
      <c r="E741">
        <v>917553779385</v>
      </c>
      <c r="F741" t="s">
        <v>2588</v>
      </c>
      <c r="G741" s="2" t="s">
        <v>2589</v>
      </c>
      <c r="H741">
        <v>993247079</v>
      </c>
      <c r="I741" t="s">
        <v>2590</v>
      </c>
    </row>
    <row r="742" spans="1:9">
      <c r="A742" t="s">
        <v>3577</v>
      </c>
      <c r="B742" t="s">
        <v>2591</v>
      </c>
      <c r="C742" s="1">
        <v>20918</v>
      </c>
      <c r="D742" t="s">
        <v>10</v>
      </c>
      <c r="E742">
        <v>6032503943</v>
      </c>
      <c r="F742" t="s">
        <v>2592</v>
      </c>
      <c r="G742" t="s">
        <v>2593</v>
      </c>
      <c r="H742">
        <v>8127317427</v>
      </c>
      <c r="I742" t="s">
        <v>2594</v>
      </c>
    </row>
    <row r="743" spans="1:9" ht="72">
      <c r="A743" t="s">
        <v>3600</v>
      </c>
      <c r="B743" t="s">
        <v>1723</v>
      </c>
      <c r="C743" s="1">
        <v>23013</v>
      </c>
      <c r="D743" t="s">
        <v>28</v>
      </c>
      <c r="E743">
        <v>2761764040</v>
      </c>
      <c r="F743" t="s">
        <v>2595</v>
      </c>
      <c r="G743" s="2" t="s">
        <v>2596</v>
      </c>
      <c r="H743">
        <v>745952827</v>
      </c>
      <c r="I743" t="s">
        <v>2597</v>
      </c>
    </row>
    <row r="744" spans="1:9">
      <c r="A744" t="s">
        <v>3542</v>
      </c>
      <c r="B744" t="s">
        <v>2489</v>
      </c>
      <c r="C744" s="1">
        <v>23221</v>
      </c>
      <c r="D744" t="s">
        <v>10</v>
      </c>
      <c r="E744">
        <v>917327839692</v>
      </c>
      <c r="F744" t="s">
        <v>2598</v>
      </c>
      <c r="G744" t="s">
        <v>2599</v>
      </c>
      <c r="H744">
        <v>1052089831</v>
      </c>
      <c r="I744" t="s">
        <v>2600</v>
      </c>
    </row>
    <row r="745" spans="1:9">
      <c r="A745" t="s">
        <v>3543</v>
      </c>
      <c r="B745" t="s">
        <v>2601</v>
      </c>
      <c r="C745" s="1">
        <v>23036</v>
      </c>
      <c r="D745" t="s">
        <v>15</v>
      </c>
      <c r="E745">
        <v>917731297341</v>
      </c>
      <c r="F745" t="s">
        <v>2602</v>
      </c>
      <c r="G745" t="s">
        <v>2603</v>
      </c>
      <c r="H745">
        <v>1894523959</v>
      </c>
      <c r="I745" t="s">
        <v>2604</v>
      </c>
    </row>
    <row r="746" spans="1:9" ht="86.4">
      <c r="A746" t="s">
        <v>3551</v>
      </c>
      <c r="B746" t="s">
        <v>2605</v>
      </c>
      <c r="C746" s="1">
        <v>33332</v>
      </c>
      <c r="D746" t="s">
        <v>28</v>
      </c>
      <c r="E746">
        <v>7517579032</v>
      </c>
      <c r="F746" t="s">
        <v>2606</v>
      </c>
      <c r="G746" s="2" t="s">
        <v>2607</v>
      </c>
      <c r="H746">
        <v>7587558509</v>
      </c>
      <c r="I746" t="s">
        <v>2608</v>
      </c>
    </row>
    <row r="747" spans="1:9" ht="72">
      <c r="A747" t="s">
        <v>3515</v>
      </c>
      <c r="B747" t="s">
        <v>568</v>
      </c>
      <c r="C747" s="1">
        <v>23993</v>
      </c>
      <c r="D747" t="s">
        <v>15</v>
      </c>
      <c r="E747">
        <v>6946272865</v>
      </c>
      <c r="F747" t="s">
        <v>2609</v>
      </c>
      <c r="G747" s="2" t="s">
        <v>2610</v>
      </c>
      <c r="H747">
        <v>6674078869</v>
      </c>
      <c r="I747" t="s">
        <v>2611</v>
      </c>
    </row>
    <row r="748" spans="1:9" ht="86.4">
      <c r="A748" t="s">
        <v>3527</v>
      </c>
      <c r="B748" t="s">
        <v>136</v>
      </c>
      <c r="C748" s="1">
        <v>27652</v>
      </c>
      <c r="D748" t="s">
        <v>10</v>
      </c>
      <c r="E748">
        <v>6726418793</v>
      </c>
      <c r="F748" t="s">
        <v>2612</v>
      </c>
      <c r="G748" s="2" t="s">
        <v>2613</v>
      </c>
      <c r="H748">
        <v>7040793651</v>
      </c>
      <c r="I748" t="s">
        <v>2614</v>
      </c>
    </row>
    <row r="749" spans="1:9" ht="86.4">
      <c r="A749" t="s">
        <v>3460</v>
      </c>
      <c r="B749" t="s">
        <v>264</v>
      </c>
      <c r="C749" s="1">
        <v>36638</v>
      </c>
      <c r="D749" t="s">
        <v>10</v>
      </c>
      <c r="E749">
        <v>913273571256</v>
      </c>
      <c r="F749" t="s">
        <v>2615</v>
      </c>
      <c r="G749" s="2" t="s">
        <v>2616</v>
      </c>
      <c r="H749">
        <v>98057836</v>
      </c>
      <c r="I749" t="s">
        <v>2617</v>
      </c>
    </row>
    <row r="750" spans="1:9">
      <c r="A750" t="s">
        <v>3485</v>
      </c>
      <c r="B750" t="s">
        <v>1314</v>
      </c>
      <c r="C750" s="1">
        <v>34088</v>
      </c>
      <c r="D750" t="s">
        <v>15</v>
      </c>
      <c r="E750">
        <v>912985684997</v>
      </c>
      <c r="F750" t="s">
        <v>2618</v>
      </c>
      <c r="G750" t="s">
        <v>2619</v>
      </c>
      <c r="H750">
        <v>7443687163</v>
      </c>
      <c r="I750" t="s">
        <v>2620</v>
      </c>
    </row>
    <row r="751" spans="1:9">
      <c r="A751" t="s">
        <v>3572</v>
      </c>
      <c r="B751" t="s">
        <v>36</v>
      </c>
      <c r="C751" s="1">
        <v>38517</v>
      </c>
      <c r="D751" t="s">
        <v>28</v>
      </c>
      <c r="E751">
        <v>915458661824</v>
      </c>
      <c r="F751" t="s">
        <v>2621</v>
      </c>
      <c r="G751" t="s">
        <v>2622</v>
      </c>
      <c r="H751">
        <v>3399821590</v>
      </c>
      <c r="I751" t="s">
        <v>2623</v>
      </c>
    </row>
    <row r="752" spans="1:9" ht="100.8">
      <c r="A752" t="s">
        <v>3519</v>
      </c>
      <c r="B752" t="s">
        <v>1762</v>
      </c>
      <c r="C752" s="1">
        <v>30539</v>
      </c>
      <c r="D752" t="s">
        <v>10</v>
      </c>
      <c r="E752">
        <v>5677154176</v>
      </c>
      <c r="F752" t="s">
        <v>2624</v>
      </c>
      <c r="G752" s="2" t="s">
        <v>2625</v>
      </c>
      <c r="H752">
        <v>4760852085</v>
      </c>
      <c r="I752" t="s">
        <v>2626</v>
      </c>
    </row>
    <row r="753" spans="1:9">
      <c r="A753" t="s">
        <v>3565</v>
      </c>
      <c r="B753" t="s">
        <v>2627</v>
      </c>
      <c r="C753" s="1">
        <v>24973</v>
      </c>
      <c r="D753" t="s">
        <v>10</v>
      </c>
      <c r="E753">
        <v>9887829887</v>
      </c>
      <c r="F753" t="s">
        <v>2628</v>
      </c>
      <c r="G753" t="s">
        <v>2629</v>
      </c>
      <c r="H753">
        <v>4663903214</v>
      </c>
      <c r="I753" t="s">
        <v>2630</v>
      </c>
    </row>
    <row r="754" spans="1:9" ht="72">
      <c r="A754" t="s">
        <v>3442</v>
      </c>
      <c r="B754" t="s">
        <v>644</v>
      </c>
      <c r="C754" s="1">
        <v>18319</v>
      </c>
      <c r="D754" t="s">
        <v>10</v>
      </c>
      <c r="E754">
        <v>911184065488</v>
      </c>
      <c r="F754" t="s">
        <v>2631</v>
      </c>
      <c r="G754" s="2" t="s">
        <v>2632</v>
      </c>
      <c r="H754">
        <v>7835179838</v>
      </c>
      <c r="I754" t="s">
        <v>2633</v>
      </c>
    </row>
    <row r="755" spans="1:9" ht="72">
      <c r="A755" t="s">
        <v>3418</v>
      </c>
      <c r="B755" t="s">
        <v>2634</v>
      </c>
      <c r="C755" s="1">
        <v>22880</v>
      </c>
      <c r="D755" t="s">
        <v>15</v>
      </c>
      <c r="E755">
        <v>9586417825</v>
      </c>
      <c r="F755" t="s">
        <v>2635</v>
      </c>
      <c r="G755" s="2" t="s">
        <v>2636</v>
      </c>
      <c r="H755">
        <v>6851797367</v>
      </c>
      <c r="I755" t="s">
        <v>2637</v>
      </c>
    </row>
    <row r="756" spans="1:9">
      <c r="A756" t="s">
        <v>3470</v>
      </c>
      <c r="B756" t="s">
        <v>2638</v>
      </c>
      <c r="C756" s="1">
        <v>19271</v>
      </c>
      <c r="D756" t="s">
        <v>15</v>
      </c>
      <c r="E756">
        <v>9520387212</v>
      </c>
      <c r="F756" t="s">
        <v>2639</v>
      </c>
      <c r="G756" t="s">
        <v>2640</v>
      </c>
      <c r="H756">
        <v>3508243262</v>
      </c>
      <c r="I756" t="s">
        <v>2641</v>
      </c>
    </row>
    <row r="757" spans="1:9" ht="72">
      <c r="A757" t="s">
        <v>3479</v>
      </c>
      <c r="B757" t="s">
        <v>1570</v>
      </c>
      <c r="C757" s="1">
        <v>25615</v>
      </c>
      <c r="D757" t="s">
        <v>10</v>
      </c>
      <c r="E757">
        <v>8414202484</v>
      </c>
      <c r="F757" t="s">
        <v>2642</v>
      </c>
      <c r="G757" s="2" t="s">
        <v>2643</v>
      </c>
      <c r="H757">
        <v>907718235</v>
      </c>
      <c r="I757" t="s">
        <v>2644</v>
      </c>
    </row>
    <row r="758" spans="1:9" ht="72">
      <c r="A758" t="s">
        <v>3435</v>
      </c>
      <c r="B758" t="s">
        <v>2645</v>
      </c>
      <c r="C758" s="1">
        <v>24221</v>
      </c>
      <c r="D758" t="s">
        <v>28</v>
      </c>
      <c r="E758">
        <v>6172757355</v>
      </c>
      <c r="F758" t="s">
        <v>2646</v>
      </c>
      <c r="G758" s="2" t="s">
        <v>2647</v>
      </c>
      <c r="H758">
        <v>215013433</v>
      </c>
      <c r="I758" t="s">
        <v>2648</v>
      </c>
    </row>
    <row r="759" spans="1:9">
      <c r="A759" t="s">
        <v>3478</v>
      </c>
      <c r="B759" t="s">
        <v>100</v>
      </c>
      <c r="C759" s="1">
        <v>26043</v>
      </c>
      <c r="D759" t="s">
        <v>15</v>
      </c>
      <c r="E759">
        <v>2477339129</v>
      </c>
      <c r="F759" t="s">
        <v>2649</v>
      </c>
      <c r="G759" t="s">
        <v>2650</v>
      </c>
      <c r="H759">
        <v>9100443643</v>
      </c>
      <c r="I759" t="s">
        <v>2651</v>
      </c>
    </row>
    <row r="760" spans="1:9" ht="57.6">
      <c r="A760" t="s">
        <v>3529</v>
      </c>
      <c r="B760" t="s">
        <v>1420</v>
      </c>
      <c r="C760" s="1">
        <v>28226</v>
      </c>
      <c r="D760" t="s">
        <v>28</v>
      </c>
      <c r="E760">
        <v>1422007227</v>
      </c>
      <c r="F760" t="s">
        <v>2652</v>
      </c>
      <c r="G760" s="2" t="s">
        <v>2653</v>
      </c>
      <c r="H760">
        <v>632586775</v>
      </c>
      <c r="I760" t="s">
        <v>2654</v>
      </c>
    </row>
    <row r="761" spans="1:9" ht="72">
      <c r="A761" t="s">
        <v>3416</v>
      </c>
      <c r="B761" t="s">
        <v>272</v>
      </c>
      <c r="C761" s="1">
        <v>29323</v>
      </c>
      <c r="D761" t="s">
        <v>15</v>
      </c>
      <c r="E761">
        <v>344633246</v>
      </c>
      <c r="F761" t="s">
        <v>2655</v>
      </c>
      <c r="G761" s="2" t="s">
        <v>2656</v>
      </c>
      <c r="H761">
        <v>7696595965</v>
      </c>
      <c r="I761" t="s">
        <v>2657</v>
      </c>
    </row>
    <row r="762" spans="1:9" ht="72">
      <c r="A762" t="s">
        <v>3451</v>
      </c>
      <c r="B762" t="s">
        <v>2658</v>
      </c>
      <c r="C762" s="1">
        <v>31978</v>
      </c>
      <c r="D762" t="s">
        <v>15</v>
      </c>
      <c r="E762">
        <v>4842109222</v>
      </c>
      <c r="F762" t="s">
        <v>2659</v>
      </c>
      <c r="G762" s="2" t="s">
        <v>2660</v>
      </c>
      <c r="H762">
        <v>3029708137</v>
      </c>
      <c r="I762" t="s">
        <v>2661</v>
      </c>
    </row>
    <row r="763" spans="1:9" ht="72">
      <c r="A763" t="s">
        <v>3604</v>
      </c>
      <c r="B763" t="s">
        <v>759</v>
      </c>
      <c r="C763" s="1">
        <v>33693</v>
      </c>
      <c r="D763" t="s">
        <v>28</v>
      </c>
      <c r="E763">
        <v>914392295014</v>
      </c>
      <c r="F763" t="s">
        <v>2662</v>
      </c>
      <c r="G763" s="2" t="s">
        <v>2663</v>
      </c>
      <c r="H763">
        <v>8244666694</v>
      </c>
      <c r="I763" t="s">
        <v>2664</v>
      </c>
    </row>
    <row r="764" spans="1:9" ht="57.6">
      <c r="A764" t="s">
        <v>3446</v>
      </c>
      <c r="B764" t="s">
        <v>410</v>
      </c>
      <c r="C764" s="1">
        <v>30392</v>
      </c>
      <c r="D764" t="s">
        <v>28</v>
      </c>
      <c r="E764">
        <v>915085592562</v>
      </c>
      <c r="F764" t="s">
        <v>2665</v>
      </c>
      <c r="G764" s="2" t="s">
        <v>2666</v>
      </c>
      <c r="H764">
        <v>3446661051</v>
      </c>
      <c r="I764" t="s">
        <v>2667</v>
      </c>
    </row>
    <row r="765" spans="1:9" ht="86.4">
      <c r="A765" t="s">
        <v>3475</v>
      </c>
      <c r="B765" t="s">
        <v>2668</v>
      </c>
      <c r="C765" s="1">
        <v>38053</v>
      </c>
      <c r="D765" t="s">
        <v>28</v>
      </c>
      <c r="E765">
        <v>6887924494</v>
      </c>
      <c r="F765" t="s">
        <v>2669</v>
      </c>
      <c r="G765" s="2" t="s">
        <v>2670</v>
      </c>
      <c r="H765">
        <v>1693476912</v>
      </c>
      <c r="I765" t="s">
        <v>2671</v>
      </c>
    </row>
    <row r="766" spans="1:9" ht="72">
      <c r="A766" t="s">
        <v>3529</v>
      </c>
      <c r="B766" t="s">
        <v>1407</v>
      </c>
      <c r="C766" s="1">
        <v>20090</v>
      </c>
      <c r="D766" t="s">
        <v>15</v>
      </c>
      <c r="E766">
        <v>2201631852</v>
      </c>
      <c r="F766" t="s">
        <v>2672</v>
      </c>
      <c r="G766" s="2" t="s">
        <v>2673</v>
      </c>
      <c r="H766">
        <v>231896720</v>
      </c>
      <c r="I766" t="s">
        <v>2674</v>
      </c>
    </row>
    <row r="767" spans="1:9" ht="86.4">
      <c r="A767" t="s">
        <v>3560</v>
      </c>
      <c r="B767" t="s">
        <v>2675</v>
      </c>
      <c r="C767" s="1">
        <v>29905</v>
      </c>
      <c r="D767" t="s">
        <v>28</v>
      </c>
      <c r="E767">
        <v>5690001917</v>
      </c>
      <c r="F767" t="s">
        <v>2676</v>
      </c>
      <c r="G767" s="2" t="s">
        <v>2677</v>
      </c>
      <c r="H767">
        <v>870272820</v>
      </c>
      <c r="I767" t="s">
        <v>2678</v>
      </c>
    </row>
    <row r="768" spans="1:9" ht="72">
      <c r="A768" t="s">
        <v>3431</v>
      </c>
      <c r="B768" t="s">
        <v>892</v>
      </c>
      <c r="C768" s="1">
        <v>31380</v>
      </c>
      <c r="D768" t="s">
        <v>28</v>
      </c>
      <c r="E768">
        <v>3491232160</v>
      </c>
      <c r="F768" t="s">
        <v>2679</v>
      </c>
      <c r="G768" s="2" t="s">
        <v>2680</v>
      </c>
      <c r="H768">
        <v>5428326701</v>
      </c>
      <c r="I768" t="s">
        <v>2681</v>
      </c>
    </row>
    <row r="769" spans="1:9" ht="72">
      <c r="A769" t="s">
        <v>3420</v>
      </c>
      <c r="B769" t="s">
        <v>1010</v>
      </c>
      <c r="C769" s="1">
        <v>36268</v>
      </c>
      <c r="D769" t="s">
        <v>28</v>
      </c>
      <c r="E769">
        <v>6290251538</v>
      </c>
      <c r="F769" t="s">
        <v>2682</v>
      </c>
      <c r="G769" s="2" t="s">
        <v>2683</v>
      </c>
      <c r="H769">
        <v>1984105075</v>
      </c>
      <c r="I769" t="s">
        <v>2684</v>
      </c>
    </row>
    <row r="770" spans="1:9" ht="72">
      <c r="A770" t="s">
        <v>3480</v>
      </c>
      <c r="B770" t="s">
        <v>512</v>
      </c>
      <c r="C770" s="1">
        <v>28926</v>
      </c>
      <c r="D770" t="s">
        <v>28</v>
      </c>
      <c r="E770">
        <v>913784679700</v>
      </c>
      <c r="F770" t="s">
        <v>2685</v>
      </c>
      <c r="G770" s="2" t="s">
        <v>2686</v>
      </c>
      <c r="H770">
        <v>2901832051</v>
      </c>
      <c r="I770" t="s">
        <v>2687</v>
      </c>
    </row>
    <row r="771" spans="1:9" ht="72">
      <c r="A771" t="s">
        <v>3605</v>
      </c>
      <c r="B771" t="s">
        <v>613</v>
      </c>
      <c r="C771" s="1">
        <v>19641</v>
      </c>
      <c r="D771" t="s">
        <v>28</v>
      </c>
      <c r="E771">
        <v>9050240651</v>
      </c>
      <c r="F771" t="s">
        <v>2688</v>
      </c>
      <c r="G771" s="2" t="s">
        <v>2689</v>
      </c>
      <c r="H771">
        <v>4079044813</v>
      </c>
      <c r="I771" t="s">
        <v>2690</v>
      </c>
    </row>
    <row r="772" spans="1:9" ht="86.4">
      <c r="A772" t="s">
        <v>3606</v>
      </c>
      <c r="B772" t="s">
        <v>681</v>
      </c>
      <c r="C772" s="1">
        <v>27939</v>
      </c>
      <c r="D772" t="s">
        <v>28</v>
      </c>
      <c r="E772">
        <v>6776195249</v>
      </c>
      <c r="F772" t="s">
        <v>2691</v>
      </c>
      <c r="G772" s="2" t="s">
        <v>2692</v>
      </c>
      <c r="H772">
        <v>5347827725</v>
      </c>
      <c r="I772" t="s">
        <v>2693</v>
      </c>
    </row>
    <row r="773" spans="1:9" ht="115.2">
      <c r="A773" t="s">
        <v>3511</v>
      </c>
      <c r="B773" t="s">
        <v>485</v>
      </c>
      <c r="C773" s="1">
        <v>24482</v>
      </c>
      <c r="D773" t="s">
        <v>28</v>
      </c>
      <c r="E773">
        <v>9873587272</v>
      </c>
      <c r="F773" t="s">
        <v>2694</v>
      </c>
      <c r="G773" s="2" t="s">
        <v>2695</v>
      </c>
      <c r="H773">
        <v>7398356523</v>
      </c>
      <c r="I773" t="s">
        <v>2696</v>
      </c>
    </row>
    <row r="774" spans="1:9" ht="72">
      <c r="A774" t="s">
        <v>3556</v>
      </c>
      <c r="B774" t="s">
        <v>1736</v>
      </c>
      <c r="C774" s="1">
        <v>29591</v>
      </c>
      <c r="D774" t="s">
        <v>15</v>
      </c>
      <c r="E774">
        <v>915334062016</v>
      </c>
      <c r="F774" t="s">
        <v>2697</v>
      </c>
      <c r="G774" s="2" t="s">
        <v>2698</v>
      </c>
      <c r="H774">
        <v>2335704445</v>
      </c>
      <c r="I774" t="s">
        <v>2699</v>
      </c>
    </row>
    <row r="775" spans="1:9">
      <c r="A775" t="s">
        <v>3477</v>
      </c>
      <c r="B775" t="s">
        <v>855</v>
      </c>
      <c r="C775" s="1">
        <v>26266</v>
      </c>
      <c r="D775" t="s">
        <v>28</v>
      </c>
      <c r="E775">
        <v>9449574218</v>
      </c>
      <c r="F775" t="s">
        <v>2700</v>
      </c>
      <c r="G775" t="s">
        <v>2701</v>
      </c>
      <c r="H775">
        <v>2998724735</v>
      </c>
      <c r="I775" t="s">
        <v>2702</v>
      </c>
    </row>
    <row r="776" spans="1:9" ht="86.4">
      <c r="A776" t="s">
        <v>3540</v>
      </c>
      <c r="B776" t="s">
        <v>726</v>
      </c>
      <c r="C776" s="1">
        <v>26778</v>
      </c>
      <c r="D776" t="s">
        <v>15</v>
      </c>
      <c r="E776">
        <v>910075145183</v>
      </c>
      <c r="F776" t="s">
        <v>2703</v>
      </c>
      <c r="G776" s="2" t="s">
        <v>2704</v>
      </c>
      <c r="H776">
        <v>4378624301</v>
      </c>
      <c r="I776" t="s">
        <v>2705</v>
      </c>
    </row>
    <row r="777" spans="1:9">
      <c r="A777" t="s">
        <v>3566</v>
      </c>
      <c r="B777" t="s">
        <v>751</v>
      </c>
      <c r="C777" s="1">
        <v>18485</v>
      </c>
      <c r="D777" t="s">
        <v>10</v>
      </c>
      <c r="E777">
        <v>9637491218</v>
      </c>
      <c r="F777" t="s">
        <v>2706</v>
      </c>
      <c r="G777" t="s">
        <v>2707</v>
      </c>
      <c r="H777">
        <v>6004027289</v>
      </c>
      <c r="I777" t="s">
        <v>2708</v>
      </c>
    </row>
    <row r="778" spans="1:9" ht="86.4">
      <c r="A778" t="s">
        <v>3534</v>
      </c>
      <c r="B778" t="s">
        <v>2709</v>
      </c>
      <c r="C778" s="1">
        <v>19814</v>
      </c>
      <c r="D778" t="s">
        <v>10</v>
      </c>
      <c r="E778">
        <v>9842507966</v>
      </c>
      <c r="F778" t="s">
        <v>2710</v>
      </c>
      <c r="G778" s="2" t="s">
        <v>2711</v>
      </c>
      <c r="H778">
        <v>5952859947</v>
      </c>
      <c r="I778" t="s">
        <v>2712</v>
      </c>
    </row>
    <row r="779" spans="1:9">
      <c r="A779" t="s">
        <v>3513</v>
      </c>
      <c r="B779" t="s">
        <v>685</v>
      </c>
      <c r="C779" s="1">
        <v>32566</v>
      </c>
      <c r="D779" t="s">
        <v>15</v>
      </c>
      <c r="E779">
        <v>910557797983</v>
      </c>
      <c r="F779" t="s">
        <v>2713</v>
      </c>
      <c r="G779" t="s">
        <v>2714</v>
      </c>
      <c r="H779">
        <v>6028586966</v>
      </c>
      <c r="I779" t="s">
        <v>2715</v>
      </c>
    </row>
    <row r="780" spans="1:9" ht="100.8">
      <c r="A780" t="s">
        <v>3517</v>
      </c>
      <c r="B780" t="s">
        <v>23</v>
      </c>
      <c r="C780" s="1">
        <v>25946</v>
      </c>
      <c r="D780" t="s">
        <v>28</v>
      </c>
      <c r="E780">
        <v>912101842622</v>
      </c>
      <c r="F780" t="s">
        <v>2716</v>
      </c>
      <c r="G780" s="2" t="s">
        <v>2717</v>
      </c>
      <c r="H780">
        <v>4377950765</v>
      </c>
      <c r="I780" t="s">
        <v>2718</v>
      </c>
    </row>
    <row r="781" spans="1:9">
      <c r="A781" t="s">
        <v>3448</v>
      </c>
      <c r="B781" t="s">
        <v>973</v>
      </c>
      <c r="C781" s="1">
        <v>35907</v>
      </c>
      <c r="D781" t="s">
        <v>15</v>
      </c>
      <c r="E781">
        <v>2512258467</v>
      </c>
      <c r="F781" t="s">
        <v>2719</v>
      </c>
      <c r="G781" t="s">
        <v>2720</v>
      </c>
      <c r="H781">
        <v>3854070084</v>
      </c>
      <c r="I781" t="s">
        <v>2721</v>
      </c>
    </row>
    <row r="782" spans="1:9" ht="86.4">
      <c r="A782" t="s">
        <v>3473</v>
      </c>
      <c r="B782" t="s">
        <v>2722</v>
      </c>
      <c r="C782" s="1">
        <v>29503</v>
      </c>
      <c r="D782" t="s">
        <v>10</v>
      </c>
      <c r="E782">
        <v>3851397635</v>
      </c>
      <c r="F782" t="s">
        <v>2723</v>
      </c>
      <c r="G782" s="2" t="s">
        <v>2724</v>
      </c>
      <c r="H782">
        <v>8737282659</v>
      </c>
      <c r="I782" t="s">
        <v>2725</v>
      </c>
    </row>
    <row r="783" spans="1:9" ht="72">
      <c r="A783" t="s">
        <v>3580</v>
      </c>
      <c r="B783" t="s">
        <v>747</v>
      </c>
      <c r="C783" s="1">
        <v>37821</v>
      </c>
      <c r="D783" t="s">
        <v>15</v>
      </c>
      <c r="E783">
        <v>333085441</v>
      </c>
      <c r="F783" t="s">
        <v>2726</v>
      </c>
      <c r="G783" s="2" t="s">
        <v>2727</v>
      </c>
      <c r="H783">
        <v>7777365764</v>
      </c>
      <c r="I783" t="s">
        <v>2728</v>
      </c>
    </row>
    <row r="784" spans="1:9" ht="57.6">
      <c r="A784" t="s">
        <v>3562</v>
      </c>
      <c r="B784" t="s">
        <v>594</v>
      </c>
      <c r="C784" s="1">
        <v>26049</v>
      </c>
      <c r="D784" t="s">
        <v>10</v>
      </c>
      <c r="E784">
        <v>4351102693</v>
      </c>
      <c r="F784" t="s">
        <v>2729</v>
      </c>
      <c r="G784" s="2" t="s">
        <v>2730</v>
      </c>
      <c r="H784">
        <v>6260674151</v>
      </c>
      <c r="I784" t="s">
        <v>2731</v>
      </c>
    </row>
    <row r="785" spans="1:9" ht="72">
      <c r="A785" t="s">
        <v>3571</v>
      </c>
      <c r="B785" t="s">
        <v>663</v>
      </c>
      <c r="C785" s="1">
        <v>36089</v>
      </c>
      <c r="D785" t="s">
        <v>15</v>
      </c>
      <c r="E785">
        <v>2797302940</v>
      </c>
      <c r="F785" t="s">
        <v>2732</v>
      </c>
      <c r="G785" s="2" t="s">
        <v>2733</v>
      </c>
      <c r="H785">
        <v>8919949516</v>
      </c>
      <c r="I785" t="s">
        <v>2734</v>
      </c>
    </row>
    <row r="786" spans="1:9" ht="72">
      <c r="A786" t="s">
        <v>3417</v>
      </c>
      <c r="B786" t="s">
        <v>1299</v>
      </c>
      <c r="C786" s="1">
        <v>38121</v>
      </c>
      <c r="D786" t="s">
        <v>15</v>
      </c>
      <c r="E786">
        <v>4464523900</v>
      </c>
      <c r="F786" t="s">
        <v>2735</v>
      </c>
      <c r="G786" s="2" t="s">
        <v>2736</v>
      </c>
      <c r="H786">
        <v>146709367</v>
      </c>
      <c r="I786" t="s">
        <v>2737</v>
      </c>
    </row>
    <row r="787" spans="1:9" ht="72">
      <c r="A787" t="s">
        <v>3497</v>
      </c>
      <c r="B787" t="s">
        <v>272</v>
      </c>
      <c r="C787" s="1">
        <v>34381</v>
      </c>
      <c r="D787" t="s">
        <v>15</v>
      </c>
      <c r="E787">
        <v>917707346031</v>
      </c>
      <c r="F787" t="s">
        <v>2738</v>
      </c>
      <c r="G787" s="2" t="s">
        <v>2739</v>
      </c>
      <c r="H787">
        <v>2867851506</v>
      </c>
      <c r="I787" t="s">
        <v>2740</v>
      </c>
    </row>
    <row r="788" spans="1:9" ht="86.4">
      <c r="A788" t="s">
        <v>3541</v>
      </c>
      <c r="B788" t="s">
        <v>108</v>
      </c>
      <c r="C788" s="1">
        <v>26894</v>
      </c>
      <c r="D788" t="s">
        <v>15</v>
      </c>
      <c r="E788">
        <v>6166894093</v>
      </c>
      <c r="F788" t="s">
        <v>2741</v>
      </c>
      <c r="G788" s="2" t="s">
        <v>2742</v>
      </c>
      <c r="H788">
        <v>4518256961</v>
      </c>
      <c r="I788" t="s">
        <v>2743</v>
      </c>
    </row>
    <row r="789" spans="1:9" ht="57.6">
      <c r="A789" t="s">
        <v>3473</v>
      </c>
      <c r="B789" t="s">
        <v>2744</v>
      </c>
      <c r="C789" s="1">
        <v>25579</v>
      </c>
      <c r="D789" t="s">
        <v>15</v>
      </c>
      <c r="E789">
        <v>6978487989</v>
      </c>
      <c r="F789" t="s">
        <v>2745</v>
      </c>
      <c r="G789" s="2" t="s">
        <v>2746</v>
      </c>
      <c r="H789">
        <v>2301274690</v>
      </c>
      <c r="I789" t="s">
        <v>2747</v>
      </c>
    </row>
    <row r="790" spans="1:9" ht="57.6">
      <c r="A790" t="s">
        <v>3513</v>
      </c>
      <c r="B790" t="s">
        <v>1342</v>
      </c>
      <c r="C790" s="1">
        <v>28396</v>
      </c>
      <c r="D790" t="s">
        <v>10</v>
      </c>
      <c r="E790">
        <v>917085536062</v>
      </c>
      <c r="F790" t="s">
        <v>2748</v>
      </c>
      <c r="G790" s="2" t="s">
        <v>2749</v>
      </c>
      <c r="H790">
        <v>2730324827</v>
      </c>
      <c r="I790" t="s">
        <v>2750</v>
      </c>
    </row>
    <row r="791" spans="1:9">
      <c r="A791" t="s">
        <v>3450</v>
      </c>
      <c r="B791" t="s">
        <v>1035</v>
      </c>
      <c r="C791" s="1">
        <v>28096</v>
      </c>
      <c r="D791" t="s">
        <v>15</v>
      </c>
      <c r="E791">
        <v>911882038069</v>
      </c>
      <c r="F791" t="s">
        <v>2751</v>
      </c>
      <c r="G791" t="s">
        <v>2752</v>
      </c>
      <c r="H791">
        <v>6947281326</v>
      </c>
      <c r="I791" t="s">
        <v>2753</v>
      </c>
    </row>
    <row r="792" spans="1:9" ht="57.6">
      <c r="A792" t="s">
        <v>3449</v>
      </c>
      <c r="B792" t="s">
        <v>64</v>
      </c>
      <c r="C792" s="1">
        <v>19051</v>
      </c>
      <c r="D792" t="s">
        <v>15</v>
      </c>
      <c r="E792">
        <v>2940375353</v>
      </c>
      <c r="F792" t="s">
        <v>2754</v>
      </c>
      <c r="G792" s="2" t="s">
        <v>2755</v>
      </c>
      <c r="H792">
        <v>712652494</v>
      </c>
      <c r="I792" t="s">
        <v>2756</v>
      </c>
    </row>
    <row r="793" spans="1:9" ht="72">
      <c r="A793" t="s">
        <v>3550</v>
      </c>
      <c r="B793" t="s">
        <v>2171</v>
      </c>
      <c r="C793" s="1">
        <v>30445</v>
      </c>
      <c r="D793" t="s">
        <v>15</v>
      </c>
      <c r="E793">
        <v>2015149777</v>
      </c>
      <c r="F793" t="s">
        <v>2757</v>
      </c>
      <c r="G793" s="2" t="s">
        <v>2758</v>
      </c>
      <c r="H793">
        <v>2948494345</v>
      </c>
      <c r="I793" t="s">
        <v>2759</v>
      </c>
    </row>
    <row r="794" spans="1:9" ht="72">
      <c r="A794" t="s">
        <v>3569</v>
      </c>
      <c r="B794" t="s">
        <v>2645</v>
      </c>
      <c r="C794" s="1">
        <v>33369</v>
      </c>
      <c r="D794" t="s">
        <v>28</v>
      </c>
      <c r="E794">
        <v>91595678</v>
      </c>
      <c r="F794" t="s">
        <v>2760</v>
      </c>
      <c r="G794" s="2" t="s">
        <v>2761</v>
      </c>
      <c r="H794">
        <v>878072020</v>
      </c>
      <c r="I794" t="s">
        <v>2762</v>
      </c>
    </row>
    <row r="795" spans="1:9">
      <c r="A795" t="s">
        <v>3503</v>
      </c>
      <c r="B795" t="s">
        <v>2763</v>
      </c>
      <c r="C795" s="1">
        <v>28438</v>
      </c>
      <c r="D795" t="s">
        <v>10</v>
      </c>
      <c r="E795">
        <v>7637203734</v>
      </c>
      <c r="F795" t="s">
        <v>2764</v>
      </c>
      <c r="G795" t="s">
        <v>2765</v>
      </c>
      <c r="H795">
        <v>546739316</v>
      </c>
      <c r="I795" t="s">
        <v>2766</v>
      </c>
    </row>
    <row r="796" spans="1:9" ht="72">
      <c r="A796" t="s">
        <v>3585</v>
      </c>
      <c r="B796" t="s">
        <v>485</v>
      </c>
      <c r="C796" s="1">
        <v>30134</v>
      </c>
      <c r="D796" t="s">
        <v>15</v>
      </c>
      <c r="E796">
        <v>3058868102</v>
      </c>
      <c r="F796" t="s">
        <v>2767</v>
      </c>
      <c r="G796" s="2" t="s">
        <v>2768</v>
      </c>
      <c r="H796">
        <v>6159700019</v>
      </c>
      <c r="I796" t="s">
        <v>2769</v>
      </c>
    </row>
    <row r="797" spans="1:9" ht="72">
      <c r="A797" t="s">
        <v>3581</v>
      </c>
      <c r="B797" t="s">
        <v>2638</v>
      </c>
      <c r="C797" s="1">
        <v>35451</v>
      </c>
      <c r="D797" t="s">
        <v>10</v>
      </c>
      <c r="E797">
        <v>914743693908</v>
      </c>
      <c r="F797" t="s">
        <v>2770</v>
      </c>
      <c r="G797" s="2" t="s">
        <v>2771</v>
      </c>
      <c r="H797">
        <v>5111903594</v>
      </c>
      <c r="I797" t="s">
        <v>2772</v>
      </c>
    </row>
    <row r="798" spans="1:9">
      <c r="A798" t="s">
        <v>3417</v>
      </c>
      <c r="B798" t="s">
        <v>2773</v>
      </c>
      <c r="C798" s="1">
        <v>28974</v>
      </c>
      <c r="D798" t="s">
        <v>15</v>
      </c>
      <c r="E798">
        <v>9903238876</v>
      </c>
      <c r="F798" t="s">
        <v>2774</v>
      </c>
      <c r="G798" t="s">
        <v>2775</v>
      </c>
      <c r="H798">
        <v>3081836329</v>
      </c>
      <c r="I798" t="s">
        <v>2776</v>
      </c>
    </row>
    <row r="799" spans="1:9" ht="72">
      <c r="A799" t="s">
        <v>3610</v>
      </c>
      <c r="B799" t="s">
        <v>2777</v>
      </c>
      <c r="C799" s="1">
        <v>17936</v>
      </c>
      <c r="D799" t="s">
        <v>28</v>
      </c>
      <c r="E799">
        <v>1548185133</v>
      </c>
      <c r="F799" t="s">
        <v>2778</v>
      </c>
      <c r="G799" s="2" t="s">
        <v>2779</v>
      </c>
      <c r="H799">
        <v>4058923036</v>
      </c>
      <c r="I799" t="s">
        <v>2780</v>
      </c>
    </row>
    <row r="800" spans="1:9" ht="72">
      <c r="A800" t="s">
        <v>3475</v>
      </c>
      <c r="B800" t="s">
        <v>2781</v>
      </c>
      <c r="C800" s="1">
        <v>36707</v>
      </c>
      <c r="D800" t="s">
        <v>10</v>
      </c>
      <c r="E800">
        <v>7265571364</v>
      </c>
      <c r="F800" t="s">
        <v>2782</v>
      </c>
      <c r="G800" s="2" t="s">
        <v>2783</v>
      </c>
      <c r="H800">
        <v>2699018511</v>
      </c>
      <c r="I800" t="s">
        <v>2784</v>
      </c>
    </row>
    <row r="801" spans="1:9" ht="57.6">
      <c r="A801" t="s">
        <v>3430</v>
      </c>
      <c r="B801" t="s">
        <v>2722</v>
      </c>
      <c r="C801" s="1">
        <v>29259</v>
      </c>
      <c r="D801" t="s">
        <v>28</v>
      </c>
      <c r="E801">
        <v>4670506809</v>
      </c>
      <c r="F801" t="s">
        <v>2785</v>
      </c>
      <c r="G801" s="2" t="s">
        <v>2786</v>
      </c>
      <c r="H801">
        <v>2349524570</v>
      </c>
      <c r="I801" t="s">
        <v>2787</v>
      </c>
    </row>
    <row r="802" spans="1:9" ht="86.4">
      <c r="A802" t="s">
        <v>3485</v>
      </c>
      <c r="B802" t="s">
        <v>2788</v>
      </c>
      <c r="C802" s="1">
        <v>31134</v>
      </c>
      <c r="D802" t="s">
        <v>28</v>
      </c>
      <c r="E802">
        <v>324271618</v>
      </c>
      <c r="F802" t="s">
        <v>2789</v>
      </c>
      <c r="G802" s="2" t="s">
        <v>2790</v>
      </c>
      <c r="H802">
        <v>8193192294</v>
      </c>
      <c r="I802" t="s">
        <v>2791</v>
      </c>
    </row>
    <row r="803" spans="1:9" ht="72">
      <c r="A803" t="s">
        <v>3484</v>
      </c>
      <c r="B803" t="s">
        <v>546</v>
      </c>
      <c r="C803" s="1">
        <v>26489</v>
      </c>
      <c r="D803" t="s">
        <v>15</v>
      </c>
      <c r="E803">
        <v>919418545541</v>
      </c>
      <c r="F803" t="s">
        <v>2792</v>
      </c>
      <c r="G803" s="2" t="s">
        <v>2793</v>
      </c>
      <c r="H803">
        <v>479865716</v>
      </c>
      <c r="I803" t="s">
        <v>2794</v>
      </c>
    </row>
    <row r="804" spans="1:9" ht="86.4">
      <c r="A804" t="s">
        <v>3420</v>
      </c>
      <c r="B804" t="s">
        <v>164</v>
      </c>
      <c r="C804" s="1">
        <v>19310</v>
      </c>
      <c r="D804" t="s">
        <v>10</v>
      </c>
      <c r="E804">
        <v>6286856434</v>
      </c>
      <c r="F804" t="s">
        <v>2795</v>
      </c>
      <c r="G804" s="2" t="s">
        <v>2796</v>
      </c>
      <c r="H804">
        <v>6330846017</v>
      </c>
      <c r="I804" t="s">
        <v>2797</v>
      </c>
    </row>
    <row r="805" spans="1:9" ht="72">
      <c r="A805" t="s">
        <v>3485</v>
      </c>
      <c r="B805" t="s">
        <v>2410</v>
      </c>
      <c r="C805" s="1">
        <v>32955</v>
      </c>
      <c r="D805" t="s">
        <v>10</v>
      </c>
      <c r="E805">
        <v>918474911634</v>
      </c>
      <c r="F805" t="s">
        <v>2798</v>
      </c>
      <c r="G805" s="2" t="s">
        <v>2799</v>
      </c>
      <c r="H805">
        <v>7962295110</v>
      </c>
      <c r="I805" t="s">
        <v>2800</v>
      </c>
    </row>
    <row r="806" spans="1:9">
      <c r="A806" t="s">
        <v>3441</v>
      </c>
      <c r="B806" t="s">
        <v>2801</v>
      </c>
      <c r="C806" s="1">
        <v>18914</v>
      </c>
      <c r="D806" t="s">
        <v>10</v>
      </c>
      <c r="E806">
        <v>260469017</v>
      </c>
      <c r="F806" t="s">
        <v>2802</v>
      </c>
      <c r="G806" t="s">
        <v>2803</v>
      </c>
      <c r="H806">
        <v>5024238935</v>
      </c>
      <c r="I806" t="s">
        <v>2804</v>
      </c>
    </row>
    <row r="807" spans="1:9">
      <c r="A807" t="s">
        <v>3593</v>
      </c>
      <c r="B807" t="s">
        <v>961</v>
      </c>
      <c r="C807" s="1">
        <v>36616</v>
      </c>
      <c r="D807" t="s">
        <v>10</v>
      </c>
      <c r="E807">
        <v>919850230506</v>
      </c>
      <c r="F807" t="s">
        <v>2805</v>
      </c>
      <c r="G807" t="s">
        <v>2806</v>
      </c>
      <c r="H807">
        <v>2492202881</v>
      </c>
      <c r="I807" t="s">
        <v>2807</v>
      </c>
    </row>
    <row r="808" spans="1:9" ht="72">
      <c r="A808" t="s">
        <v>3581</v>
      </c>
      <c r="B808" t="s">
        <v>933</v>
      </c>
      <c r="C808" s="1">
        <v>27582</v>
      </c>
      <c r="D808" t="s">
        <v>15</v>
      </c>
      <c r="E808">
        <v>126962505</v>
      </c>
      <c r="F808" t="s">
        <v>2808</v>
      </c>
      <c r="G808" s="2" t="s">
        <v>2809</v>
      </c>
      <c r="H808">
        <v>3844037654</v>
      </c>
      <c r="I808" t="s">
        <v>2810</v>
      </c>
    </row>
    <row r="809" spans="1:9">
      <c r="A809" t="s">
        <v>3546</v>
      </c>
      <c r="B809" t="s">
        <v>1217</v>
      </c>
      <c r="C809" s="1">
        <v>30864</v>
      </c>
      <c r="D809" t="s">
        <v>15</v>
      </c>
      <c r="E809">
        <v>913308641486</v>
      </c>
      <c r="F809" t="s">
        <v>2811</v>
      </c>
      <c r="G809" t="s">
        <v>2812</v>
      </c>
      <c r="H809">
        <v>1090744479</v>
      </c>
      <c r="I809" t="s">
        <v>2813</v>
      </c>
    </row>
    <row r="810" spans="1:9">
      <c r="A810" t="s">
        <v>3431</v>
      </c>
      <c r="B810" t="s">
        <v>613</v>
      </c>
      <c r="C810" s="1">
        <v>22808</v>
      </c>
      <c r="D810" t="s">
        <v>28</v>
      </c>
      <c r="E810">
        <v>4568848657</v>
      </c>
      <c r="F810" t="s">
        <v>2814</v>
      </c>
      <c r="G810" t="s">
        <v>2815</v>
      </c>
      <c r="H810">
        <v>8036893825</v>
      </c>
      <c r="I810" t="s">
        <v>2816</v>
      </c>
    </row>
    <row r="811" spans="1:9" ht="57.6">
      <c r="A811" t="s">
        <v>3552</v>
      </c>
      <c r="B811" t="s">
        <v>2817</v>
      </c>
      <c r="C811" s="1">
        <v>20734</v>
      </c>
      <c r="D811" t="s">
        <v>15</v>
      </c>
      <c r="E811">
        <v>269577526</v>
      </c>
      <c r="F811" t="s">
        <v>2818</v>
      </c>
      <c r="G811" s="2" t="s">
        <v>2819</v>
      </c>
      <c r="H811">
        <v>6429839303</v>
      </c>
      <c r="I811" t="s">
        <v>2820</v>
      </c>
    </row>
    <row r="812" spans="1:9">
      <c r="A812" t="s">
        <v>3555</v>
      </c>
      <c r="B812" t="s">
        <v>364</v>
      </c>
      <c r="C812" s="1">
        <v>34068</v>
      </c>
      <c r="D812" t="s">
        <v>10</v>
      </c>
      <c r="E812">
        <v>5329873401</v>
      </c>
      <c r="F812" t="s">
        <v>2821</v>
      </c>
      <c r="G812" t="s">
        <v>2822</v>
      </c>
      <c r="H812">
        <v>7739610340</v>
      </c>
      <c r="I812" t="s">
        <v>2823</v>
      </c>
    </row>
    <row r="813" spans="1:9">
      <c r="A813" t="s">
        <v>3446</v>
      </c>
      <c r="B813" t="s">
        <v>629</v>
      </c>
      <c r="C813" s="1">
        <v>36364</v>
      </c>
      <c r="D813" t="s">
        <v>15</v>
      </c>
      <c r="E813">
        <v>914175694307</v>
      </c>
      <c r="F813" t="s">
        <v>2824</v>
      </c>
      <c r="G813" t="s">
        <v>2825</v>
      </c>
      <c r="H813">
        <v>4857867126</v>
      </c>
      <c r="I813" t="s">
        <v>2826</v>
      </c>
    </row>
    <row r="814" spans="1:9" ht="86.4">
      <c r="A814" t="s">
        <v>3426</v>
      </c>
      <c r="B814" t="s">
        <v>2777</v>
      </c>
      <c r="C814" s="1">
        <v>38941</v>
      </c>
      <c r="D814" t="s">
        <v>28</v>
      </c>
      <c r="E814">
        <v>8988524991</v>
      </c>
      <c r="F814" t="s">
        <v>2827</v>
      </c>
      <c r="G814" s="2" t="s">
        <v>2828</v>
      </c>
      <c r="H814">
        <v>9670716944</v>
      </c>
      <c r="I814" t="s">
        <v>2829</v>
      </c>
    </row>
    <row r="815" spans="1:9" ht="72">
      <c r="A815" t="s">
        <v>3493</v>
      </c>
      <c r="B815" t="s">
        <v>497</v>
      </c>
      <c r="C815" s="1">
        <v>37321</v>
      </c>
      <c r="D815" t="s">
        <v>10</v>
      </c>
      <c r="E815">
        <v>5602310640</v>
      </c>
      <c r="F815" t="s">
        <v>2830</v>
      </c>
      <c r="G815" s="2" t="s">
        <v>2831</v>
      </c>
      <c r="H815">
        <v>7366547587</v>
      </c>
      <c r="I815" t="s">
        <v>2832</v>
      </c>
    </row>
    <row r="816" spans="1:9" ht="57.6">
      <c r="A816" t="s">
        <v>3611</v>
      </c>
      <c r="B816" t="s">
        <v>1310</v>
      </c>
      <c r="C816" s="1">
        <v>21378</v>
      </c>
      <c r="D816" t="s">
        <v>10</v>
      </c>
      <c r="E816">
        <v>9067718536</v>
      </c>
      <c r="F816" t="s">
        <v>2833</v>
      </c>
      <c r="G816" s="2" t="s">
        <v>2834</v>
      </c>
      <c r="H816">
        <v>7071279717</v>
      </c>
      <c r="I816" t="s">
        <v>2835</v>
      </c>
    </row>
    <row r="817" spans="1:9" ht="72">
      <c r="A817" t="s">
        <v>3542</v>
      </c>
      <c r="B817" t="s">
        <v>180</v>
      </c>
      <c r="C817" s="1">
        <v>21736</v>
      </c>
      <c r="D817" t="s">
        <v>28</v>
      </c>
      <c r="E817">
        <v>9043881767</v>
      </c>
      <c r="F817" t="s">
        <v>2836</v>
      </c>
      <c r="G817" s="2" t="s">
        <v>2837</v>
      </c>
      <c r="H817">
        <v>467820369</v>
      </c>
      <c r="I817" t="s">
        <v>2838</v>
      </c>
    </row>
    <row r="818" spans="1:9" ht="57.6">
      <c r="A818" t="s">
        <v>3603</v>
      </c>
      <c r="B818" t="s">
        <v>704</v>
      </c>
      <c r="C818" s="1">
        <v>22419</v>
      </c>
      <c r="D818" t="s">
        <v>28</v>
      </c>
      <c r="E818">
        <v>1340973122</v>
      </c>
      <c r="F818" t="s">
        <v>2839</v>
      </c>
      <c r="G818" s="2" t="s">
        <v>2840</v>
      </c>
      <c r="H818">
        <v>1780581380</v>
      </c>
      <c r="I818" t="s">
        <v>2841</v>
      </c>
    </row>
    <row r="819" spans="1:9" ht="72">
      <c r="A819" t="s">
        <v>3492</v>
      </c>
      <c r="B819" t="s">
        <v>1478</v>
      </c>
      <c r="C819" s="1">
        <v>31694</v>
      </c>
      <c r="D819" t="s">
        <v>10</v>
      </c>
      <c r="E819">
        <v>8645552615</v>
      </c>
      <c r="F819" t="s">
        <v>2842</v>
      </c>
      <c r="G819" s="2" t="s">
        <v>2843</v>
      </c>
      <c r="H819">
        <v>8962586926</v>
      </c>
      <c r="I819" t="s">
        <v>2844</v>
      </c>
    </row>
    <row r="820" spans="1:9" ht="86.4">
      <c r="A820" t="s">
        <v>3612</v>
      </c>
      <c r="B820" t="s">
        <v>1387</v>
      </c>
      <c r="C820" s="1">
        <v>19390</v>
      </c>
      <c r="D820" t="s">
        <v>15</v>
      </c>
      <c r="E820">
        <v>1797519378</v>
      </c>
      <c r="F820" t="s">
        <v>2845</v>
      </c>
      <c r="G820" s="2" t="s">
        <v>2846</v>
      </c>
      <c r="H820">
        <v>6461526532</v>
      </c>
      <c r="I820" t="s">
        <v>2847</v>
      </c>
    </row>
    <row r="821" spans="1:9" ht="57.6">
      <c r="A821" t="s">
        <v>3433</v>
      </c>
      <c r="B821" t="s">
        <v>2848</v>
      </c>
      <c r="C821" s="1">
        <v>24532</v>
      </c>
      <c r="D821" t="s">
        <v>15</v>
      </c>
      <c r="E821">
        <v>1297198840</v>
      </c>
      <c r="F821" t="s">
        <v>2849</v>
      </c>
      <c r="G821" s="2" t="s">
        <v>2850</v>
      </c>
      <c r="H821">
        <v>9058081403</v>
      </c>
      <c r="I821" t="s">
        <v>2851</v>
      </c>
    </row>
    <row r="822" spans="1:9" ht="57.6">
      <c r="A822" t="s">
        <v>3613</v>
      </c>
      <c r="B822" t="s">
        <v>2605</v>
      </c>
      <c r="C822" s="1">
        <v>19025</v>
      </c>
      <c r="D822" t="s">
        <v>10</v>
      </c>
      <c r="E822">
        <v>6358699021</v>
      </c>
      <c r="F822" t="s">
        <v>2852</v>
      </c>
      <c r="G822" s="2" t="s">
        <v>2853</v>
      </c>
      <c r="H822">
        <v>2074988495</v>
      </c>
      <c r="I822" t="s">
        <v>2854</v>
      </c>
    </row>
    <row r="823" spans="1:9">
      <c r="A823" t="s">
        <v>3599</v>
      </c>
      <c r="B823" t="s">
        <v>1202</v>
      </c>
      <c r="C823" s="1">
        <v>35821</v>
      </c>
      <c r="D823" t="s">
        <v>10</v>
      </c>
      <c r="E823">
        <v>6565716657</v>
      </c>
      <c r="F823" t="s">
        <v>2855</v>
      </c>
      <c r="G823" t="s">
        <v>2856</v>
      </c>
      <c r="H823">
        <v>3072487641</v>
      </c>
      <c r="I823" t="s">
        <v>2857</v>
      </c>
    </row>
    <row r="824" spans="1:9" ht="86.4">
      <c r="A824" t="s">
        <v>3449</v>
      </c>
      <c r="B824" t="s">
        <v>851</v>
      </c>
      <c r="C824" s="1">
        <v>25795</v>
      </c>
      <c r="D824" t="s">
        <v>10</v>
      </c>
      <c r="E824">
        <v>6180583934</v>
      </c>
      <c r="F824" t="s">
        <v>2858</v>
      </c>
      <c r="G824" s="2" t="s">
        <v>2859</v>
      </c>
      <c r="H824">
        <v>9627622368</v>
      </c>
      <c r="I824" t="s">
        <v>2860</v>
      </c>
    </row>
    <row r="825" spans="1:9">
      <c r="A825" t="s">
        <v>3504</v>
      </c>
      <c r="B825" t="s">
        <v>827</v>
      </c>
      <c r="C825" s="1">
        <v>36208</v>
      </c>
      <c r="D825" t="s">
        <v>15</v>
      </c>
      <c r="E825">
        <v>5578022801</v>
      </c>
      <c r="F825" t="s">
        <v>2861</v>
      </c>
      <c r="G825" t="s">
        <v>2862</v>
      </c>
      <c r="H825">
        <v>3910323186</v>
      </c>
      <c r="I825" t="s">
        <v>2863</v>
      </c>
    </row>
    <row r="826" spans="1:9" ht="86.4">
      <c r="A826" t="s">
        <v>3607</v>
      </c>
      <c r="B826" t="s">
        <v>88</v>
      </c>
      <c r="C826" s="1">
        <v>29808</v>
      </c>
      <c r="D826" t="s">
        <v>15</v>
      </c>
      <c r="E826">
        <v>2011040838</v>
      </c>
      <c r="F826" t="s">
        <v>2864</v>
      </c>
      <c r="G826" s="2" t="s">
        <v>2865</v>
      </c>
      <c r="H826">
        <v>3939224257</v>
      </c>
      <c r="I826" t="s">
        <v>2866</v>
      </c>
    </row>
    <row r="827" spans="1:9" ht="86.4">
      <c r="A827" t="s">
        <v>3536</v>
      </c>
      <c r="B827" t="s">
        <v>2185</v>
      </c>
      <c r="C827" s="1">
        <v>21924</v>
      </c>
      <c r="D827" t="s">
        <v>10</v>
      </c>
      <c r="E827">
        <v>918852114846</v>
      </c>
      <c r="F827" t="s">
        <v>2867</v>
      </c>
      <c r="G827" s="2" t="s">
        <v>2868</v>
      </c>
      <c r="H827">
        <v>693928532</v>
      </c>
      <c r="I827" t="s">
        <v>2869</v>
      </c>
    </row>
    <row r="828" spans="1:9" ht="72">
      <c r="A828" t="s">
        <v>3413</v>
      </c>
      <c r="B828" t="s">
        <v>2870</v>
      </c>
      <c r="C828" s="1">
        <v>29613</v>
      </c>
      <c r="D828" t="s">
        <v>28</v>
      </c>
      <c r="E828">
        <v>4677818986</v>
      </c>
      <c r="F828" t="s">
        <v>2871</v>
      </c>
      <c r="G828" s="2" t="s">
        <v>2872</v>
      </c>
      <c r="H828">
        <v>3779626389</v>
      </c>
      <c r="I828" t="s">
        <v>2873</v>
      </c>
    </row>
    <row r="829" spans="1:9" ht="72">
      <c r="A829" t="s">
        <v>3549</v>
      </c>
      <c r="B829" t="s">
        <v>168</v>
      </c>
      <c r="C829" s="1">
        <v>29724</v>
      </c>
      <c r="D829" t="s">
        <v>10</v>
      </c>
      <c r="E829">
        <v>2200810014</v>
      </c>
      <c r="F829" t="s">
        <v>2874</v>
      </c>
      <c r="G829" s="2" t="s">
        <v>2875</v>
      </c>
      <c r="H829">
        <v>45872422</v>
      </c>
      <c r="I829" t="s">
        <v>2876</v>
      </c>
    </row>
    <row r="830" spans="1:9">
      <c r="A830" t="s">
        <v>3609</v>
      </c>
      <c r="B830" t="s">
        <v>2877</v>
      </c>
      <c r="C830" s="1">
        <v>38111</v>
      </c>
      <c r="D830" t="s">
        <v>10</v>
      </c>
      <c r="E830">
        <v>3051719725</v>
      </c>
      <c r="F830" t="s">
        <v>2878</v>
      </c>
      <c r="G830" t="s">
        <v>2879</v>
      </c>
      <c r="H830">
        <v>7503104979</v>
      </c>
      <c r="I830" t="s">
        <v>2880</v>
      </c>
    </row>
    <row r="831" spans="1:9" ht="72">
      <c r="A831" t="s">
        <v>3511</v>
      </c>
      <c r="B831" t="s">
        <v>2237</v>
      </c>
      <c r="C831" s="1">
        <v>30503</v>
      </c>
      <c r="D831" t="s">
        <v>15</v>
      </c>
      <c r="E831">
        <v>916199074666</v>
      </c>
      <c r="F831" t="s">
        <v>2881</v>
      </c>
      <c r="G831" s="2" t="s">
        <v>2882</v>
      </c>
      <c r="H831">
        <v>2558767350</v>
      </c>
      <c r="I831" t="s">
        <v>2883</v>
      </c>
    </row>
    <row r="832" spans="1:9" ht="72">
      <c r="A832" t="s">
        <v>3599</v>
      </c>
      <c r="B832" t="s">
        <v>977</v>
      </c>
      <c r="C832" s="1">
        <v>32625</v>
      </c>
      <c r="D832" t="s">
        <v>10</v>
      </c>
      <c r="E832">
        <v>7646126149</v>
      </c>
      <c r="F832" t="s">
        <v>2884</v>
      </c>
      <c r="G832" s="2" t="s">
        <v>2885</v>
      </c>
      <c r="H832">
        <v>63621051</v>
      </c>
      <c r="I832" t="s">
        <v>2886</v>
      </c>
    </row>
    <row r="833" spans="1:9" ht="86.4">
      <c r="A833" t="s">
        <v>3443</v>
      </c>
      <c r="B833" t="s">
        <v>136</v>
      </c>
      <c r="C833" s="1">
        <v>25294</v>
      </c>
      <c r="D833" t="s">
        <v>15</v>
      </c>
      <c r="E833">
        <v>1135373965</v>
      </c>
      <c r="F833" t="s">
        <v>2887</v>
      </c>
      <c r="G833" s="2" t="s">
        <v>2888</v>
      </c>
      <c r="H833">
        <v>9915482700</v>
      </c>
      <c r="I833" t="s">
        <v>2889</v>
      </c>
    </row>
    <row r="834" spans="1:9" ht="72">
      <c r="A834" t="s">
        <v>3484</v>
      </c>
      <c r="B834" t="s">
        <v>19</v>
      </c>
      <c r="C834" s="1">
        <v>32042</v>
      </c>
      <c r="D834" t="s">
        <v>28</v>
      </c>
      <c r="E834">
        <v>917460213688</v>
      </c>
      <c r="F834" t="s">
        <v>2890</v>
      </c>
      <c r="G834" s="2" t="s">
        <v>2891</v>
      </c>
      <c r="H834">
        <v>2235528587</v>
      </c>
      <c r="I834" t="s">
        <v>2892</v>
      </c>
    </row>
    <row r="835" spans="1:9" ht="86.4">
      <c r="A835" t="s">
        <v>3561</v>
      </c>
      <c r="B835" t="s">
        <v>673</v>
      </c>
      <c r="C835" s="1">
        <v>35561</v>
      </c>
      <c r="D835" t="s">
        <v>10</v>
      </c>
      <c r="E835">
        <v>919335287897</v>
      </c>
      <c r="F835" t="s">
        <v>2893</v>
      </c>
      <c r="G835" s="2" t="s">
        <v>2894</v>
      </c>
      <c r="H835">
        <v>1850880875</v>
      </c>
      <c r="I835" t="s">
        <v>2895</v>
      </c>
    </row>
    <row r="836" spans="1:9" ht="72">
      <c r="A836" t="s">
        <v>3614</v>
      </c>
      <c r="B836" t="s">
        <v>925</v>
      </c>
      <c r="C836" s="1">
        <v>25782</v>
      </c>
      <c r="D836" t="s">
        <v>28</v>
      </c>
      <c r="E836">
        <v>108867974</v>
      </c>
      <c r="F836" t="s">
        <v>2896</v>
      </c>
      <c r="G836" s="2" t="s">
        <v>2897</v>
      </c>
      <c r="H836">
        <v>4963379226</v>
      </c>
      <c r="I836" t="s">
        <v>2898</v>
      </c>
    </row>
    <row r="837" spans="1:9" ht="72">
      <c r="A837" t="s">
        <v>3591</v>
      </c>
      <c r="B837" t="s">
        <v>152</v>
      </c>
      <c r="C837" s="1">
        <v>22965</v>
      </c>
      <c r="D837" t="s">
        <v>10</v>
      </c>
      <c r="E837">
        <v>7345052194</v>
      </c>
      <c r="F837" t="s">
        <v>2899</v>
      </c>
      <c r="G837" s="2" t="s">
        <v>2900</v>
      </c>
      <c r="H837">
        <v>9198174736</v>
      </c>
      <c r="I837" t="s">
        <v>2901</v>
      </c>
    </row>
    <row r="838" spans="1:9">
      <c r="A838" t="s">
        <v>3578</v>
      </c>
      <c r="B838" t="s">
        <v>2016</v>
      </c>
      <c r="C838" s="1">
        <v>37866</v>
      </c>
      <c r="D838" t="s">
        <v>28</v>
      </c>
      <c r="E838">
        <v>8955713198</v>
      </c>
      <c r="F838" t="s">
        <v>2902</v>
      </c>
      <c r="G838" t="s">
        <v>2903</v>
      </c>
      <c r="H838">
        <v>8487756191</v>
      </c>
      <c r="I838" t="s">
        <v>2904</v>
      </c>
    </row>
    <row r="839" spans="1:9" ht="57.6">
      <c r="A839" t="s">
        <v>3425</v>
      </c>
      <c r="B839" t="s">
        <v>148</v>
      </c>
      <c r="C839" s="1">
        <v>23318</v>
      </c>
      <c r="D839" t="s">
        <v>15</v>
      </c>
      <c r="E839">
        <v>912900059054</v>
      </c>
      <c r="F839" t="s">
        <v>2905</v>
      </c>
      <c r="G839" s="2" t="s">
        <v>2906</v>
      </c>
      <c r="H839">
        <v>2393306533</v>
      </c>
      <c r="I839" t="s">
        <v>2907</v>
      </c>
    </row>
    <row r="840" spans="1:9" ht="72">
      <c r="A840" t="s">
        <v>3596</v>
      </c>
      <c r="B840" t="s">
        <v>140</v>
      </c>
      <c r="C840" s="1">
        <v>27668</v>
      </c>
      <c r="D840" t="s">
        <v>10</v>
      </c>
      <c r="E840">
        <v>918219608787</v>
      </c>
      <c r="F840" t="s">
        <v>2908</v>
      </c>
      <c r="G840" s="2" t="s">
        <v>2909</v>
      </c>
      <c r="H840">
        <v>979785500</v>
      </c>
      <c r="I840" t="s">
        <v>2910</v>
      </c>
    </row>
    <row r="841" spans="1:9" ht="86.4">
      <c r="A841" t="s">
        <v>3482</v>
      </c>
      <c r="B841" t="s">
        <v>64</v>
      </c>
      <c r="C841" s="1">
        <v>35954</v>
      </c>
      <c r="D841" t="s">
        <v>10</v>
      </c>
      <c r="E841">
        <v>107932265</v>
      </c>
      <c r="F841" t="s">
        <v>2911</v>
      </c>
      <c r="G841" s="2" t="s">
        <v>2912</v>
      </c>
      <c r="H841">
        <v>4581987088</v>
      </c>
      <c r="I841" t="s">
        <v>2913</v>
      </c>
    </row>
    <row r="842" spans="1:9" ht="86.4">
      <c r="A842" t="s">
        <v>3561</v>
      </c>
      <c r="B842" t="s">
        <v>1075</v>
      </c>
      <c r="C842" s="1">
        <v>17882</v>
      </c>
      <c r="D842" t="s">
        <v>28</v>
      </c>
      <c r="E842">
        <v>3659726839</v>
      </c>
      <c r="F842" t="s">
        <v>2914</v>
      </c>
      <c r="G842" s="2" t="s">
        <v>2915</v>
      </c>
      <c r="H842">
        <v>3870278537</v>
      </c>
      <c r="I842" t="s">
        <v>2916</v>
      </c>
    </row>
    <row r="843" spans="1:9">
      <c r="A843" t="s">
        <v>3549</v>
      </c>
      <c r="B843" t="s">
        <v>352</v>
      </c>
      <c r="C843" s="1">
        <v>29586</v>
      </c>
      <c r="D843" t="s">
        <v>15</v>
      </c>
      <c r="E843">
        <v>917306390858</v>
      </c>
      <c r="F843" t="s">
        <v>2917</v>
      </c>
      <c r="G843" t="s">
        <v>2918</v>
      </c>
      <c r="H843">
        <v>5957354105</v>
      </c>
      <c r="I843" t="s">
        <v>2919</v>
      </c>
    </row>
    <row r="844" spans="1:9" ht="72">
      <c r="A844" t="s">
        <v>3497</v>
      </c>
      <c r="B844" t="s">
        <v>299</v>
      </c>
      <c r="C844" s="1">
        <v>37787</v>
      </c>
      <c r="D844" t="s">
        <v>28</v>
      </c>
      <c r="E844">
        <v>8988108558</v>
      </c>
      <c r="F844" t="s">
        <v>2920</v>
      </c>
      <c r="G844" s="2" t="s">
        <v>2921</v>
      </c>
      <c r="H844">
        <v>4931660816</v>
      </c>
      <c r="I844" t="s">
        <v>2922</v>
      </c>
    </row>
    <row r="845" spans="1:9" ht="57.6">
      <c r="A845" t="s">
        <v>3443</v>
      </c>
      <c r="B845" t="s">
        <v>617</v>
      </c>
      <c r="C845" s="1">
        <v>18240</v>
      </c>
      <c r="D845" t="s">
        <v>28</v>
      </c>
      <c r="E845">
        <v>4750004584</v>
      </c>
      <c r="F845" t="s">
        <v>2923</v>
      </c>
      <c r="G845" s="2" t="s">
        <v>2924</v>
      </c>
      <c r="H845">
        <v>3647224558</v>
      </c>
      <c r="I845" t="s">
        <v>2925</v>
      </c>
    </row>
    <row r="846" spans="1:9" ht="57.6">
      <c r="A846" t="s">
        <v>3481</v>
      </c>
      <c r="B846" t="s">
        <v>68</v>
      </c>
      <c r="C846" s="1">
        <v>37034</v>
      </c>
      <c r="D846" t="s">
        <v>15</v>
      </c>
      <c r="E846">
        <v>2449663900</v>
      </c>
      <c r="F846" t="s">
        <v>2926</v>
      </c>
      <c r="G846" s="2" t="s">
        <v>2927</v>
      </c>
      <c r="H846">
        <v>7098166881</v>
      </c>
      <c r="I846" t="s">
        <v>2928</v>
      </c>
    </row>
    <row r="847" spans="1:9" ht="72">
      <c r="A847" t="s">
        <v>3511</v>
      </c>
      <c r="B847" t="s">
        <v>444</v>
      </c>
      <c r="C847" s="1">
        <v>20211</v>
      </c>
      <c r="D847" t="s">
        <v>28</v>
      </c>
      <c r="E847">
        <v>164546625</v>
      </c>
      <c r="F847" t="s">
        <v>2929</v>
      </c>
      <c r="G847" s="2" t="s">
        <v>2930</v>
      </c>
      <c r="H847">
        <v>7450809897</v>
      </c>
      <c r="I847" t="s">
        <v>2931</v>
      </c>
    </row>
    <row r="848" spans="1:9" ht="72">
      <c r="A848" t="s">
        <v>3516</v>
      </c>
      <c r="B848" t="s">
        <v>1133</v>
      </c>
      <c r="C848" s="1">
        <v>18742</v>
      </c>
      <c r="D848" t="s">
        <v>28</v>
      </c>
      <c r="E848">
        <v>2614471650</v>
      </c>
      <c r="F848" t="s">
        <v>2932</v>
      </c>
      <c r="G848" s="2" t="s">
        <v>2933</v>
      </c>
      <c r="H848">
        <v>7804987620</v>
      </c>
      <c r="I848" t="s">
        <v>2934</v>
      </c>
    </row>
    <row r="849" spans="1:9">
      <c r="A849" t="s">
        <v>3507</v>
      </c>
      <c r="B849" t="s">
        <v>1120</v>
      </c>
      <c r="C849" s="1">
        <v>25593</v>
      </c>
      <c r="D849" t="s">
        <v>10</v>
      </c>
      <c r="E849">
        <v>917607414644</v>
      </c>
      <c r="F849" t="s">
        <v>2935</v>
      </c>
      <c r="G849" t="s">
        <v>2936</v>
      </c>
      <c r="H849">
        <v>5510954252</v>
      </c>
      <c r="I849" t="s">
        <v>2937</v>
      </c>
    </row>
    <row r="850" spans="1:9" ht="72">
      <c r="A850" t="s">
        <v>3610</v>
      </c>
      <c r="B850" t="s">
        <v>572</v>
      </c>
      <c r="C850" s="1">
        <v>24634</v>
      </c>
      <c r="D850" t="s">
        <v>28</v>
      </c>
      <c r="E850">
        <v>8207271263</v>
      </c>
      <c r="F850" t="s">
        <v>2938</v>
      </c>
      <c r="G850" s="2" t="s">
        <v>2939</v>
      </c>
      <c r="H850">
        <v>6958819468</v>
      </c>
      <c r="I850" t="s">
        <v>2940</v>
      </c>
    </row>
    <row r="851" spans="1:9" ht="86.4">
      <c r="A851" t="s">
        <v>3470</v>
      </c>
      <c r="B851" t="s">
        <v>64</v>
      </c>
      <c r="C851" s="1">
        <v>22645</v>
      </c>
      <c r="D851" t="s">
        <v>10</v>
      </c>
      <c r="E851">
        <v>913675726684</v>
      </c>
      <c r="F851" t="s">
        <v>2941</v>
      </c>
      <c r="G851" s="2" t="s">
        <v>2942</v>
      </c>
      <c r="H851">
        <v>3883331518</v>
      </c>
      <c r="I851" t="s">
        <v>2943</v>
      </c>
    </row>
    <row r="852" spans="1:9" ht="57.6">
      <c r="A852" t="s">
        <v>3490</v>
      </c>
      <c r="B852" t="s">
        <v>456</v>
      </c>
      <c r="C852" s="1">
        <v>31192</v>
      </c>
      <c r="D852" t="s">
        <v>15</v>
      </c>
      <c r="E852">
        <v>911938895311</v>
      </c>
      <c r="F852" t="s">
        <v>2944</v>
      </c>
      <c r="G852" s="2" t="s">
        <v>2945</v>
      </c>
      <c r="H852">
        <v>2365046026</v>
      </c>
      <c r="I852" t="s">
        <v>2946</v>
      </c>
    </row>
    <row r="853" spans="1:9">
      <c r="A853" t="s">
        <v>3536</v>
      </c>
      <c r="B853" t="s">
        <v>112</v>
      </c>
      <c r="C853" s="1">
        <v>33692</v>
      </c>
      <c r="D853" t="s">
        <v>28</v>
      </c>
      <c r="E853">
        <v>2613506210</v>
      </c>
      <c r="F853" t="s">
        <v>2947</v>
      </c>
      <c r="G853" t="s">
        <v>2948</v>
      </c>
      <c r="H853">
        <v>5083681682</v>
      </c>
      <c r="I853" t="s">
        <v>2949</v>
      </c>
    </row>
    <row r="854" spans="1:9">
      <c r="A854" t="s">
        <v>3593</v>
      </c>
      <c r="B854" t="s">
        <v>80</v>
      </c>
      <c r="C854" s="1">
        <v>19883</v>
      </c>
      <c r="D854" t="s">
        <v>15</v>
      </c>
      <c r="E854">
        <v>3903909200</v>
      </c>
      <c r="F854" t="s">
        <v>2950</v>
      </c>
      <c r="G854" t="s">
        <v>2951</v>
      </c>
      <c r="H854">
        <v>1522932297</v>
      </c>
      <c r="I854" t="s">
        <v>2952</v>
      </c>
    </row>
    <row r="855" spans="1:9">
      <c r="A855" t="s">
        <v>3418</v>
      </c>
      <c r="B855" t="s">
        <v>444</v>
      </c>
      <c r="C855" s="1">
        <v>34826</v>
      </c>
      <c r="D855" t="s">
        <v>10</v>
      </c>
      <c r="E855">
        <v>7543188645</v>
      </c>
      <c r="F855" t="s">
        <v>2953</v>
      </c>
      <c r="G855" t="s">
        <v>2954</v>
      </c>
      <c r="H855">
        <v>3875007709</v>
      </c>
      <c r="I855" t="s">
        <v>2955</v>
      </c>
    </row>
    <row r="856" spans="1:9" ht="86.4">
      <c r="A856" t="s">
        <v>3430</v>
      </c>
      <c r="B856" t="s">
        <v>1420</v>
      </c>
      <c r="C856" s="1">
        <v>23469</v>
      </c>
      <c r="D856" t="s">
        <v>10</v>
      </c>
      <c r="E856">
        <v>9804333156</v>
      </c>
      <c r="F856" t="s">
        <v>2956</v>
      </c>
      <c r="G856" s="2" t="s">
        <v>2957</v>
      </c>
      <c r="H856">
        <v>1642663316</v>
      </c>
      <c r="I856" t="s">
        <v>2958</v>
      </c>
    </row>
    <row r="857" spans="1:9" ht="86.4">
      <c r="A857" t="s">
        <v>3543</v>
      </c>
      <c r="B857" t="s">
        <v>747</v>
      </c>
      <c r="C857" s="1">
        <v>35004</v>
      </c>
      <c r="D857" t="s">
        <v>10</v>
      </c>
      <c r="E857">
        <v>1994574051</v>
      </c>
      <c r="F857" t="s">
        <v>2959</v>
      </c>
      <c r="G857" s="2" t="s">
        <v>2960</v>
      </c>
      <c r="H857">
        <v>6352413022</v>
      </c>
      <c r="I857" t="s">
        <v>2961</v>
      </c>
    </row>
    <row r="858" spans="1:9" ht="72">
      <c r="A858" t="s">
        <v>3490</v>
      </c>
      <c r="B858" t="s">
        <v>2571</v>
      </c>
      <c r="C858" s="1">
        <v>22015</v>
      </c>
      <c r="D858" t="s">
        <v>28</v>
      </c>
      <c r="E858">
        <v>9235777414</v>
      </c>
      <c r="F858" t="s">
        <v>2962</v>
      </c>
      <c r="G858" s="2" t="s">
        <v>2963</v>
      </c>
      <c r="H858">
        <v>1424124845</v>
      </c>
      <c r="I858" t="s">
        <v>2964</v>
      </c>
    </row>
    <row r="859" spans="1:9" ht="72">
      <c r="A859" t="s">
        <v>3473</v>
      </c>
      <c r="B859" t="s">
        <v>88</v>
      </c>
      <c r="C859" s="1">
        <v>38743</v>
      </c>
      <c r="D859" t="s">
        <v>10</v>
      </c>
      <c r="E859">
        <v>4190669545</v>
      </c>
      <c r="F859" t="s">
        <v>2965</v>
      </c>
      <c r="G859" s="2" t="s">
        <v>2966</v>
      </c>
      <c r="H859">
        <v>3181720357</v>
      </c>
      <c r="I859" t="s">
        <v>2967</v>
      </c>
    </row>
    <row r="860" spans="1:9">
      <c r="A860" t="s">
        <v>3452</v>
      </c>
      <c r="B860" t="s">
        <v>467</v>
      </c>
      <c r="C860" s="1">
        <v>37079</v>
      </c>
      <c r="D860" t="s">
        <v>10</v>
      </c>
      <c r="E860">
        <v>5426078241</v>
      </c>
      <c r="F860" t="s">
        <v>2968</v>
      </c>
      <c r="G860" t="s">
        <v>2969</v>
      </c>
      <c r="H860">
        <v>6421168460</v>
      </c>
      <c r="I860" t="s">
        <v>2970</v>
      </c>
    </row>
    <row r="861" spans="1:9" ht="72">
      <c r="A861" t="s">
        <v>3574</v>
      </c>
      <c r="B861" t="s">
        <v>2171</v>
      </c>
      <c r="C861" s="1">
        <v>24763</v>
      </c>
      <c r="D861" t="s">
        <v>28</v>
      </c>
      <c r="E861">
        <v>6652174645</v>
      </c>
      <c r="F861" t="s">
        <v>2971</v>
      </c>
      <c r="G861" s="2" t="s">
        <v>2972</v>
      </c>
      <c r="H861">
        <v>7890786957</v>
      </c>
      <c r="I861" t="s">
        <v>2973</v>
      </c>
    </row>
    <row r="862" spans="1:9">
      <c r="A862" t="s">
        <v>3471</v>
      </c>
      <c r="B862" t="s">
        <v>2848</v>
      </c>
      <c r="C862" s="1">
        <v>35113</v>
      </c>
      <c r="D862" t="s">
        <v>28</v>
      </c>
      <c r="E862">
        <v>5447473343</v>
      </c>
      <c r="F862" t="s">
        <v>2974</v>
      </c>
      <c r="G862" t="s">
        <v>2975</v>
      </c>
      <c r="H862">
        <v>3701185968</v>
      </c>
      <c r="I862" t="s">
        <v>2976</v>
      </c>
    </row>
    <row r="863" spans="1:9">
      <c r="A863" t="s">
        <v>3596</v>
      </c>
      <c r="B863" t="s">
        <v>2175</v>
      </c>
      <c r="C863" s="1">
        <v>35828</v>
      </c>
      <c r="D863" t="s">
        <v>28</v>
      </c>
      <c r="E863">
        <v>5095792818</v>
      </c>
      <c r="F863" t="s">
        <v>2977</v>
      </c>
      <c r="G863" t="s">
        <v>2978</v>
      </c>
      <c r="H863">
        <v>627890880</v>
      </c>
      <c r="I863" t="s">
        <v>2979</v>
      </c>
    </row>
    <row r="864" spans="1:9" ht="72">
      <c r="A864" t="s">
        <v>3602</v>
      </c>
      <c r="B864" t="s">
        <v>868</v>
      </c>
      <c r="C864" s="1">
        <v>26084</v>
      </c>
      <c r="D864" t="s">
        <v>10</v>
      </c>
      <c r="E864">
        <v>2822331256</v>
      </c>
      <c r="F864" t="s">
        <v>2980</v>
      </c>
      <c r="G864" s="2" t="s">
        <v>2981</v>
      </c>
      <c r="H864">
        <v>3235737421</v>
      </c>
      <c r="I864" t="s">
        <v>2982</v>
      </c>
    </row>
    <row r="865" spans="1:9" ht="86.4">
      <c r="A865" t="s">
        <v>3442</v>
      </c>
      <c r="B865" t="s">
        <v>156</v>
      </c>
      <c r="C865" s="1">
        <v>29786</v>
      </c>
      <c r="D865" t="s">
        <v>10</v>
      </c>
      <c r="E865">
        <v>1587199425</v>
      </c>
      <c r="F865" t="s">
        <v>2983</v>
      </c>
      <c r="G865" s="2" t="s">
        <v>2984</v>
      </c>
      <c r="H865">
        <v>3816129213</v>
      </c>
      <c r="I865" t="s">
        <v>2985</v>
      </c>
    </row>
    <row r="866" spans="1:9" ht="72">
      <c r="A866" t="s">
        <v>3615</v>
      </c>
      <c r="B866" t="s">
        <v>1048</v>
      </c>
      <c r="C866" s="1">
        <v>25983</v>
      </c>
      <c r="D866" t="s">
        <v>28</v>
      </c>
      <c r="E866">
        <v>915024694841</v>
      </c>
      <c r="F866" t="s">
        <v>2986</v>
      </c>
      <c r="G866" s="2" t="s">
        <v>2987</v>
      </c>
      <c r="H866">
        <v>7837921316</v>
      </c>
      <c r="I866" t="s">
        <v>2988</v>
      </c>
    </row>
    <row r="867" spans="1:9" ht="57.6">
      <c r="A867" t="s">
        <v>3540</v>
      </c>
      <c r="B867" t="s">
        <v>132</v>
      </c>
      <c r="C867" s="1">
        <v>23025</v>
      </c>
      <c r="D867" t="s">
        <v>28</v>
      </c>
      <c r="E867">
        <v>1519317844</v>
      </c>
      <c r="F867" t="s">
        <v>2989</v>
      </c>
      <c r="G867" s="2" t="s">
        <v>2990</v>
      </c>
      <c r="H867">
        <v>7005355882</v>
      </c>
      <c r="I867" t="s">
        <v>2991</v>
      </c>
    </row>
    <row r="868" spans="1:9" ht="86.4">
      <c r="A868" t="s">
        <v>3612</v>
      </c>
      <c r="B868" t="s">
        <v>471</v>
      </c>
      <c r="C868" s="1">
        <v>37987</v>
      </c>
      <c r="D868" t="s">
        <v>15</v>
      </c>
      <c r="E868">
        <v>919385028477</v>
      </c>
      <c r="F868" t="s">
        <v>2992</v>
      </c>
      <c r="G868" s="2" t="s">
        <v>2993</v>
      </c>
      <c r="H868">
        <v>1191611955</v>
      </c>
      <c r="I868" t="s">
        <v>2994</v>
      </c>
    </row>
    <row r="869" spans="1:9" ht="72">
      <c r="A869" t="s">
        <v>3607</v>
      </c>
      <c r="B869" t="s">
        <v>2995</v>
      </c>
      <c r="C869" s="1">
        <v>19245</v>
      </c>
      <c r="D869" t="s">
        <v>15</v>
      </c>
      <c r="E869">
        <v>917791703793</v>
      </c>
      <c r="F869" t="s">
        <v>2996</v>
      </c>
      <c r="G869" s="2" t="s">
        <v>2997</v>
      </c>
      <c r="H869">
        <v>6847325506</v>
      </c>
      <c r="I869" t="s">
        <v>2998</v>
      </c>
    </row>
    <row r="870" spans="1:9" ht="72">
      <c r="A870" t="s">
        <v>3529</v>
      </c>
      <c r="B870" t="s">
        <v>2999</v>
      </c>
      <c r="C870" s="1">
        <v>33343</v>
      </c>
      <c r="D870" t="s">
        <v>28</v>
      </c>
      <c r="E870">
        <v>1207209578</v>
      </c>
      <c r="F870" t="s">
        <v>3000</v>
      </c>
      <c r="G870" s="2" t="s">
        <v>3001</v>
      </c>
      <c r="H870">
        <v>4051556740</v>
      </c>
      <c r="I870" t="s">
        <v>3002</v>
      </c>
    </row>
    <row r="871" spans="1:9" ht="86.4">
      <c r="A871" t="s">
        <v>3417</v>
      </c>
      <c r="B871" t="s">
        <v>1723</v>
      </c>
      <c r="C871" s="1">
        <v>36128</v>
      </c>
      <c r="D871" t="s">
        <v>28</v>
      </c>
      <c r="E871">
        <v>3001341405</v>
      </c>
      <c r="F871" t="s">
        <v>3003</v>
      </c>
      <c r="G871" s="2" t="s">
        <v>3004</v>
      </c>
      <c r="H871">
        <v>5497683487</v>
      </c>
      <c r="I871" t="s">
        <v>3005</v>
      </c>
    </row>
    <row r="872" spans="1:9" ht="72">
      <c r="A872" t="s">
        <v>3444</v>
      </c>
      <c r="B872" t="s">
        <v>892</v>
      </c>
      <c r="C872" s="1">
        <v>24836</v>
      </c>
      <c r="D872" t="s">
        <v>15</v>
      </c>
      <c r="E872">
        <v>6257601380</v>
      </c>
      <c r="F872" t="s">
        <v>3006</v>
      </c>
      <c r="G872" s="2" t="s">
        <v>3007</v>
      </c>
      <c r="H872">
        <v>717416477</v>
      </c>
      <c r="I872" t="s">
        <v>3008</v>
      </c>
    </row>
    <row r="873" spans="1:9" ht="57.6">
      <c r="A873" t="s">
        <v>3418</v>
      </c>
      <c r="B873" t="s">
        <v>388</v>
      </c>
      <c r="C873" s="1">
        <v>32340</v>
      </c>
      <c r="D873" t="s">
        <v>28</v>
      </c>
      <c r="E873">
        <v>6702546168</v>
      </c>
      <c r="F873" t="s">
        <v>3009</v>
      </c>
      <c r="G873" s="2" t="s">
        <v>3010</v>
      </c>
      <c r="H873">
        <v>7929759144</v>
      </c>
      <c r="I873" t="s">
        <v>3011</v>
      </c>
    </row>
    <row r="874" spans="1:9" ht="72">
      <c r="A874" t="s">
        <v>3536</v>
      </c>
      <c r="B874" t="s">
        <v>260</v>
      </c>
      <c r="C874" s="1">
        <v>36735</v>
      </c>
      <c r="D874" t="s">
        <v>10</v>
      </c>
      <c r="E874">
        <v>4639248878</v>
      </c>
      <c r="F874" t="s">
        <v>3012</v>
      </c>
      <c r="G874" s="2" t="s">
        <v>3013</v>
      </c>
      <c r="H874">
        <v>1628974767</v>
      </c>
      <c r="I874" t="s">
        <v>3014</v>
      </c>
    </row>
    <row r="875" spans="1:9" ht="72">
      <c r="A875" t="s">
        <v>3439</v>
      </c>
      <c r="B875" t="s">
        <v>144</v>
      </c>
      <c r="C875" s="1">
        <v>26893</v>
      </c>
      <c r="D875" t="s">
        <v>10</v>
      </c>
      <c r="E875">
        <v>916425993176</v>
      </c>
      <c r="F875" t="s">
        <v>3015</v>
      </c>
      <c r="G875" s="2" t="s">
        <v>3016</v>
      </c>
      <c r="H875">
        <v>7771405770</v>
      </c>
      <c r="I875" t="s">
        <v>3017</v>
      </c>
    </row>
    <row r="876" spans="1:9" ht="72">
      <c r="A876" t="s">
        <v>3518</v>
      </c>
      <c r="B876" t="s">
        <v>497</v>
      </c>
      <c r="C876" s="1">
        <v>33731</v>
      </c>
      <c r="D876" t="s">
        <v>10</v>
      </c>
      <c r="E876">
        <v>9857525637</v>
      </c>
      <c r="F876" t="s">
        <v>3018</v>
      </c>
      <c r="G876" s="2" t="s">
        <v>3019</v>
      </c>
      <c r="H876">
        <v>7277282769</v>
      </c>
      <c r="I876" t="s">
        <v>3020</v>
      </c>
    </row>
    <row r="877" spans="1:9">
      <c r="A877" t="s">
        <v>3482</v>
      </c>
      <c r="B877" t="s">
        <v>48</v>
      </c>
      <c r="C877" s="1">
        <v>33861</v>
      </c>
      <c r="D877" t="s">
        <v>28</v>
      </c>
      <c r="E877">
        <v>6036698027</v>
      </c>
      <c r="F877" t="s">
        <v>3021</v>
      </c>
      <c r="G877" t="s">
        <v>3022</v>
      </c>
      <c r="H877">
        <v>2471649191</v>
      </c>
      <c r="I877" t="s">
        <v>3023</v>
      </c>
    </row>
    <row r="878" spans="1:9" ht="57.6">
      <c r="A878" t="s">
        <v>3563</v>
      </c>
      <c r="B878" t="s">
        <v>2645</v>
      </c>
      <c r="C878" s="1">
        <v>32923</v>
      </c>
      <c r="D878" t="s">
        <v>28</v>
      </c>
      <c r="E878">
        <v>915016915697</v>
      </c>
      <c r="F878" t="s">
        <v>3024</v>
      </c>
      <c r="G878" s="2" t="s">
        <v>3025</v>
      </c>
      <c r="H878">
        <v>4941801695</v>
      </c>
      <c r="I878" t="s">
        <v>3026</v>
      </c>
    </row>
    <row r="879" spans="1:9" ht="86.4">
      <c r="A879" t="s">
        <v>3466</v>
      </c>
      <c r="B879" t="s">
        <v>568</v>
      </c>
      <c r="C879" s="1">
        <v>24359</v>
      </c>
      <c r="D879" t="s">
        <v>15</v>
      </c>
      <c r="E879">
        <v>913118287914</v>
      </c>
      <c r="F879" t="s">
        <v>3027</v>
      </c>
      <c r="G879" s="2" t="s">
        <v>3028</v>
      </c>
      <c r="H879">
        <v>3837542884</v>
      </c>
      <c r="I879" t="s">
        <v>3029</v>
      </c>
    </row>
    <row r="880" spans="1:9" ht="57.6">
      <c r="A880" t="s">
        <v>3551</v>
      </c>
      <c r="B880" t="s">
        <v>108</v>
      </c>
      <c r="C880" s="1">
        <v>19161</v>
      </c>
      <c r="D880" t="s">
        <v>28</v>
      </c>
      <c r="E880">
        <v>3027721793</v>
      </c>
      <c r="F880" t="s">
        <v>3030</v>
      </c>
      <c r="G880" s="2" t="s">
        <v>3031</v>
      </c>
      <c r="H880">
        <v>9388949128</v>
      </c>
      <c r="I880" t="s">
        <v>3032</v>
      </c>
    </row>
    <row r="881" spans="1:9" ht="72">
      <c r="A881" t="s">
        <v>3425</v>
      </c>
      <c r="B881" t="s">
        <v>820</v>
      </c>
      <c r="C881" s="1">
        <v>33152</v>
      </c>
      <c r="D881" t="s">
        <v>28</v>
      </c>
      <c r="E881">
        <v>910407629696</v>
      </c>
      <c r="F881" t="s">
        <v>3033</v>
      </c>
      <c r="G881" s="2" t="s">
        <v>3034</v>
      </c>
      <c r="H881">
        <v>2943370265</v>
      </c>
      <c r="I881" t="s">
        <v>3035</v>
      </c>
    </row>
    <row r="882" spans="1:9" ht="100.8">
      <c r="A882" t="s">
        <v>3483</v>
      </c>
      <c r="B882" t="s">
        <v>613</v>
      </c>
      <c r="C882" s="1">
        <v>19789</v>
      </c>
      <c r="D882" t="s">
        <v>15</v>
      </c>
      <c r="E882">
        <v>3531101584</v>
      </c>
      <c r="F882" t="s">
        <v>3036</v>
      </c>
      <c r="G882" s="2" t="s">
        <v>3037</v>
      </c>
      <c r="H882">
        <v>2173733970</v>
      </c>
      <c r="I882" t="s">
        <v>3038</v>
      </c>
    </row>
    <row r="883" spans="1:9">
      <c r="A883" t="s">
        <v>3572</v>
      </c>
      <c r="B883" t="s">
        <v>2343</v>
      </c>
      <c r="C883" s="1">
        <v>33152</v>
      </c>
      <c r="D883" t="s">
        <v>28</v>
      </c>
      <c r="E883">
        <v>912400613865</v>
      </c>
      <c r="F883" t="s">
        <v>3039</v>
      </c>
      <c r="G883" t="s">
        <v>3040</v>
      </c>
      <c r="H883">
        <v>5015311959</v>
      </c>
      <c r="I883" t="s">
        <v>3041</v>
      </c>
    </row>
    <row r="884" spans="1:9" ht="100.8">
      <c r="A884" t="s">
        <v>3505</v>
      </c>
      <c r="B884" t="s">
        <v>1342</v>
      </c>
      <c r="C884" s="1">
        <v>24638</v>
      </c>
      <c r="D884" t="s">
        <v>15</v>
      </c>
      <c r="E884">
        <v>7966054856</v>
      </c>
      <c r="F884" t="s">
        <v>3042</v>
      </c>
      <c r="G884" s="2" t="s">
        <v>3043</v>
      </c>
      <c r="H884">
        <v>1148816058</v>
      </c>
      <c r="I884" t="s">
        <v>3044</v>
      </c>
    </row>
    <row r="885" spans="1:9" ht="72">
      <c r="A885" t="s">
        <v>3555</v>
      </c>
      <c r="B885" t="s">
        <v>72</v>
      </c>
      <c r="C885" s="1">
        <v>22062</v>
      </c>
      <c r="D885" t="s">
        <v>28</v>
      </c>
      <c r="E885">
        <v>7865044414</v>
      </c>
      <c r="F885" t="s">
        <v>3045</v>
      </c>
      <c r="G885" s="2" t="s">
        <v>3046</v>
      </c>
      <c r="H885">
        <v>4970424169</v>
      </c>
      <c r="I885" t="s">
        <v>3047</v>
      </c>
    </row>
    <row r="886" spans="1:9" ht="86.4">
      <c r="A886" t="s">
        <v>3491</v>
      </c>
      <c r="B886" t="s">
        <v>2125</v>
      </c>
      <c r="C886" s="1">
        <v>34066</v>
      </c>
      <c r="D886" t="s">
        <v>28</v>
      </c>
      <c r="E886">
        <v>910681436597</v>
      </c>
      <c r="F886" t="s">
        <v>3048</v>
      </c>
      <c r="G886" s="2" t="s">
        <v>3049</v>
      </c>
      <c r="H886">
        <v>5180077842</v>
      </c>
      <c r="I886" t="s">
        <v>3050</v>
      </c>
    </row>
    <row r="887" spans="1:9" ht="72">
      <c r="A887" t="s">
        <v>3437</v>
      </c>
      <c r="B887" t="s">
        <v>368</v>
      </c>
      <c r="C887" s="1">
        <v>29812</v>
      </c>
      <c r="D887" t="s">
        <v>28</v>
      </c>
      <c r="E887">
        <v>916672192283</v>
      </c>
      <c r="F887" t="s">
        <v>3051</v>
      </c>
      <c r="G887" s="2" t="s">
        <v>3052</v>
      </c>
      <c r="H887">
        <v>9120599447</v>
      </c>
      <c r="I887" t="s">
        <v>3053</v>
      </c>
    </row>
    <row r="888" spans="1:9" ht="72">
      <c r="A888" t="s">
        <v>3423</v>
      </c>
      <c r="B888" t="s">
        <v>2645</v>
      </c>
      <c r="C888" s="1">
        <v>36601</v>
      </c>
      <c r="D888" t="s">
        <v>28</v>
      </c>
      <c r="E888">
        <v>2083610880</v>
      </c>
      <c r="F888" t="s">
        <v>3054</v>
      </c>
      <c r="G888" s="2" t="s">
        <v>3055</v>
      </c>
      <c r="H888">
        <v>6296586360</v>
      </c>
      <c r="I888" t="s">
        <v>3056</v>
      </c>
    </row>
    <row r="889" spans="1:9">
      <c r="A889" t="s">
        <v>3595</v>
      </c>
      <c r="B889" t="s">
        <v>2763</v>
      </c>
      <c r="C889" s="1">
        <v>21509</v>
      </c>
      <c r="D889" t="s">
        <v>10</v>
      </c>
      <c r="E889">
        <v>915450806940</v>
      </c>
      <c r="F889" t="s">
        <v>3057</v>
      </c>
      <c r="G889" t="s">
        <v>3058</v>
      </c>
      <c r="H889">
        <v>9300460356</v>
      </c>
      <c r="I889" t="s">
        <v>3059</v>
      </c>
    </row>
    <row r="890" spans="1:9" ht="72">
      <c r="A890" t="s">
        <v>3548</v>
      </c>
      <c r="B890" t="s">
        <v>88</v>
      </c>
      <c r="C890" s="1">
        <v>27097</v>
      </c>
      <c r="D890" t="s">
        <v>10</v>
      </c>
      <c r="E890">
        <v>447905830</v>
      </c>
      <c r="F890" t="s">
        <v>3060</v>
      </c>
      <c r="G890" s="2" t="s">
        <v>3061</v>
      </c>
      <c r="H890">
        <v>7547388084</v>
      </c>
      <c r="I890" t="s">
        <v>3062</v>
      </c>
    </row>
    <row r="891" spans="1:9">
      <c r="A891" t="s">
        <v>3506</v>
      </c>
      <c r="B891" t="s">
        <v>283</v>
      </c>
      <c r="C891" s="1">
        <v>17893</v>
      </c>
      <c r="D891" t="s">
        <v>28</v>
      </c>
      <c r="E891">
        <v>2553205285</v>
      </c>
      <c r="F891" t="s">
        <v>3063</v>
      </c>
      <c r="G891" t="s">
        <v>3064</v>
      </c>
      <c r="H891">
        <v>1805141200</v>
      </c>
      <c r="I891" t="s">
        <v>3065</v>
      </c>
    </row>
    <row r="892" spans="1:9" ht="57.6">
      <c r="A892" t="s">
        <v>3554</v>
      </c>
      <c r="B892" t="s">
        <v>609</v>
      </c>
      <c r="C892" s="1">
        <v>38652</v>
      </c>
      <c r="D892" t="s">
        <v>10</v>
      </c>
      <c r="E892">
        <v>913276926899</v>
      </c>
      <c r="F892" t="s">
        <v>3066</v>
      </c>
      <c r="G892" s="2" t="s">
        <v>3067</v>
      </c>
      <c r="H892">
        <v>2413739491</v>
      </c>
      <c r="I892" t="s">
        <v>3068</v>
      </c>
    </row>
    <row r="893" spans="1:9">
      <c r="A893" t="s">
        <v>3488</v>
      </c>
      <c r="B893" t="s">
        <v>3069</v>
      </c>
      <c r="C893" s="1">
        <v>22541</v>
      </c>
      <c r="D893" t="s">
        <v>15</v>
      </c>
      <c r="E893">
        <v>4365314594</v>
      </c>
      <c r="F893" t="s">
        <v>3070</v>
      </c>
      <c r="G893" t="s">
        <v>3071</v>
      </c>
      <c r="H893">
        <v>3023042333</v>
      </c>
      <c r="I893" t="s">
        <v>3072</v>
      </c>
    </row>
    <row r="894" spans="1:9" ht="72">
      <c r="A894" t="s">
        <v>3469</v>
      </c>
      <c r="B894" t="s">
        <v>108</v>
      </c>
      <c r="C894" s="1">
        <v>18500</v>
      </c>
      <c r="D894" t="s">
        <v>10</v>
      </c>
      <c r="E894">
        <v>2704004386</v>
      </c>
      <c r="F894" t="s">
        <v>3073</v>
      </c>
      <c r="G894" s="2" t="s">
        <v>3074</v>
      </c>
      <c r="H894">
        <v>3808823309</v>
      </c>
      <c r="I894" t="s">
        <v>3075</v>
      </c>
    </row>
    <row r="895" spans="1:9" ht="72">
      <c r="A895" t="s">
        <v>3453</v>
      </c>
      <c r="B895" t="s">
        <v>2359</v>
      </c>
      <c r="C895" s="1">
        <v>19079</v>
      </c>
      <c r="D895" t="s">
        <v>15</v>
      </c>
      <c r="E895">
        <v>7518621098</v>
      </c>
      <c r="F895" t="s">
        <v>3076</v>
      </c>
      <c r="G895" s="2" t="s">
        <v>3077</v>
      </c>
      <c r="H895">
        <v>425284658</v>
      </c>
      <c r="I895" t="s">
        <v>3078</v>
      </c>
    </row>
    <row r="896" spans="1:9" ht="72">
      <c r="A896" t="s">
        <v>3576</v>
      </c>
      <c r="B896" t="s">
        <v>617</v>
      </c>
      <c r="C896" s="1">
        <v>20333</v>
      </c>
      <c r="D896" t="s">
        <v>15</v>
      </c>
      <c r="E896">
        <v>9979703108</v>
      </c>
      <c r="F896" t="s">
        <v>3079</v>
      </c>
      <c r="G896" s="2" t="s">
        <v>3080</v>
      </c>
      <c r="H896">
        <v>6021318066</v>
      </c>
      <c r="I896" t="s">
        <v>3081</v>
      </c>
    </row>
    <row r="897" spans="1:9">
      <c r="A897" t="s">
        <v>3593</v>
      </c>
      <c r="B897" t="s">
        <v>625</v>
      </c>
      <c r="C897" s="1">
        <v>23359</v>
      </c>
      <c r="D897" t="s">
        <v>15</v>
      </c>
      <c r="E897">
        <v>878037825</v>
      </c>
      <c r="F897" t="s">
        <v>3082</v>
      </c>
      <c r="G897" t="s">
        <v>3083</v>
      </c>
      <c r="H897">
        <v>5624799443</v>
      </c>
      <c r="I897" t="s">
        <v>3084</v>
      </c>
    </row>
    <row r="898" spans="1:9" ht="72">
      <c r="A898" t="s">
        <v>3428</v>
      </c>
      <c r="B898" t="s">
        <v>973</v>
      </c>
      <c r="C898" s="1">
        <v>33964</v>
      </c>
      <c r="D898" t="s">
        <v>10</v>
      </c>
      <c r="E898">
        <v>7662084078</v>
      </c>
      <c r="F898" t="s">
        <v>3085</v>
      </c>
      <c r="G898" s="2" t="s">
        <v>3086</v>
      </c>
      <c r="H898">
        <v>5424586672</v>
      </c>
      <c r="I898" t="s">
        <v>3087</v>
      </c>
    </row>
    <row r="899" spans="1:9" ht="72">
      <c r="A899" t="s">
        <v>3466</v>
      </c>
      <c r="B899" t="s">
        <v>88</v>
      </c>
      <c r="C899" s="1">
        <v>33135</v>
      </c>
      <c r="D899" t="s">
        <v>28</v>
      </c>
      <c r="E899">
        <v>601541382</v>
      </c>
      <c r="F899" t="s">
        <v>3088</v>
      </c>
      <c r="G899" s="2" t="s">
        <v>3089</v>
      </c>
      <c r="H899">
        <v>6610356574</v>
      </c>
      <c r="I899" t="s">
        <v>3090</v>
      </c>
    </row>
    <row r="900" spans="1:9">
      <c r="A900" t="s">
        <v>3468</v>
      </c>
      <c r="B900" t="s">
        <v>3091</v>
      </c>
      <c r="C900" s="1">
        <v>37015</v>
      </c>
      <c r="D900" t="s">
        <v>28</v>
      </c>
      <c r="E900">
        <v>2627350600</v>
      </c>
      <c r="F900" t="s">
        <v>3092</v>
      </c>
      <c r="G900" t="s">
        <v>3093</v>
      </c>
      <c r="H900">
        <v>5454300178</v>
      </c>
      <c r="I900" t="s">
        <v>3094</v>
      </c>
    </row>
    <row r="901" spans="1:9" ht="72">
      <c r="A901" t="s">
        <v>3482</v>
      </c>
      <c r="B901" t="s">
        <v>198</v>
      </c>
      <c r="C901" s="1">
        <v>38264</v>
      </c>
      <c r="D901" t="s">
        <v>10</v>
      </c>
      <c r="E901">
        <v>915225898730</v>
      </c>
      <c r="F901" t="s">
        <v>3095</v>
      </c>
      <c r="G901" s="2" t="s">
        <v>3096</v>
      </c>
      <c r="H901">
        <v>250064227</v>
      </c>
      <c r="I901" t="s">
        <v>3097</v>
      </c>
    </row>
    <row r="902" spans="1:9">
      <c r="A902" t="s">
        <v>3480</v>
      </c>
      <c r="B902" t="s">
        <v>1314</v>
      </c>
      <c r="C902" s="1">
        <v>21310</v>
      </c>
      <c r="D902" t="s">
        <v>15</v>
      </c>
      <c r="E902">
        <v>5053477411</v>
      </c>
      <c r="F902" t="s">
        <v>3098</v>
      </c>
      <c r="G902" t="s">
        <v>3099</v>
      </c>
      <c r="H902">
        <v>8230164303</v>
      </c>
      <c r="I902" t="s">
        <v>3100</v>
      </c>
    </row>
    <row r="903" spans="1:9" ht="72">
      <c r="A903" t="s">
        <v>3488</v>
      </c>
      <c r="B903" t="s">
        <v>774</v>
      </c>
      <c r="C903" s="1">
        <v>23491</v>
      </c>
      <c r="D903" t="s">
        <v>10</v>
      </c>
      <c r="E903">
        <v>2945786740</v>
      </c>
      <c r="F903" t="s">
        <v>3101</v>
      </c>
      <c r="G903" s="2" t="s">
        <v>3102</v>
      </c>
      <c r="H903">
        <v>8442982993</v>
      </c>
      <c r="I903" t="s">
        <v>3103</v>
      </c>
    </row>
    <row r="904" spans="1:9">
      <c r="A904" t="s">
        <v>3546</v>
      </c>
      <c r="B904" t="s">
        <v>460</v>
      </c>
      <c r="C904" s="1">
        <v>26492</v>
      </c>
      <c r="D904" t="s">
        <v>28</v>
      </c>
      <c r="E904">
        <v>7024891055</v>
      </c>
      <c r="F904" t="s">
        <v>3104</v>
      </c>
      <c r="G904" t="s">
        <v>3105</v>
      </c>
      <c r="H904">
        <v>8063139594</v>
      </c>
      <c r="I904" t="s">
        <v>3106</v>
      </c>
    </row>
    <row r="905" spans="1:9" ht="86.4">
      <c r="A905" t="s">
        <v>3609</v>
      </c>
      <c r="B905" t="s">
        <v>3107</v>
      </c>
      <c r="C905" s="1">
        <v>36280</v>
      </c>
      <c r="D905" t="s">
        <v>10</v>
      </c>
      <c r="E905">
        <v>3128211126</v>
      </c>
      <c r="F905" t="s">
        <v>3108</v>
      </c>
      <c r="G905" s="2" t="s">
        <v>3109</v>
      </c>
      <c r="H905">
        <v>950626327</v>
      </c>
      <c r="I905" t="s">
        <v>3110</v>
      </c>
    </row>
    <row r="906" spans="1:9" ht="72">
      <c r="A906" t="s">
        <v>3433</v>
      </c>
      <c r="B906" t="s">
        <v>1880</v>
      </c>
      <c r="C906" s="1">
        <v>30155</v>
      </c>
      <c r="D906" t="s">
        <v>10</v>
      </c>
      <c r="E906">
        <v>8047078937</v>
      </c>
      <c r="F906" t="s">
        <v>3111</v>
      </c>
      <c r="G906" s="2" t="s">
        <v>3112</v>
      </c>
      <c r="H906">
        <v>7928262901</v>
      </c>
      <c r="I906" t="s">
        <v>3113</v>
      </c>
    </row>
    <row r="907" spans="1:9" ht="86.4">
      <c r="A907" t="s">
        <v>3580</v>
      </c>
      <c r="B907" t="s">
        <v>617</v>
      </c>
      <c r="C907" s="1">
        <v>28920</v>
      </c>
      <c r="D907" t="s">
        <v>28</v>
      </c>
      <c r="E907">
        <v>7155333179</v>
      </c>
      <c r="F907" t="s">
        <v>3114</v>
      </c>
      <c r="G907" s="2" t="s">
        <v>3115</v>
      </c>
      <c r="H907">
        <v>8649958700</v>
      </c>
      <c r="I907" t="s">
        <v>3116</v>
      </c>
    </row>
    <row r="908" spans="1:9" ht="57.6">
      <c r="A908" t="s">
        <v>3556</v>
      </c>
      <c r="B908" t="s">
        <v>2102</v>
      </c>
      <c r="C908" s="1">
        <v>22631</v>
      </c>
      <c r="D908" t="s">
        <v>28</v>
      </c>
      <c r="E908">
        <v>919053769328</v>
      </c>
      <c r="F908" t="s">
        <v>3117</v>
      </c>
      <c r="G908" s="2" t="s">
        <v>3118</v>
      </c>
      <c r="H908">
        <v>7207579314</v>
      </c>
      <c r="I908" t="s">
        <v>3119</v>
      </c>
    </row>
    <row r="909" spans="1:9" ht="72">
      <c r="A909" t="s">
        <v>3413</v>
      </c>
      <c r="B909" t="s">
        <v>2773</v>
      </c>
      <c r="C909" s="1">
        <v>27162</v>
      </c>
      <c r="D909" t="s">
        <v>15</v>
      </c>
      <c r="E909">
        <v>4596243840</v>
      </c>
      <c r="F909" t="s">
        <v>3120</v>
      </c>
      <c r="G909" s="2" t="s">
        <v>3121</v>
      </c>
      <c r="H909">
        <v>8672075914</v>
      </c>
      <c r="I909" t="s">
        <v>3122</v>
      </c>
    </row>
    <row r="910" spans="1:9" ht="72">
      <c r="A910" t="s">
        <v>3448</v>
      </c>
      <c r="B910" t="s">
        <v>402</v>
      </c>
      <c r="C910" s="1">
        <v>34885</v>
      </c>
      <c r="D910" t="s">
        <v>15</v>
      </c>
      <c r="E910">
        <v>150434010</v>
      </c>
      <c r="F910" t="s">
        <v>3123</v>
      </c>
      <c r="G910" s="2" t="s">
        <v>3124</v>
      </c>
      <c r="H910">
        <v>6859023309</v>
      </c>
      <c r="I910" t="s">
        <v>3125</v>
      </c>
    </row>
    <row r="911" spans="1:9" ht="72">
      <c r="A911" t="s">
        <v>3466</v>
      </c>
      <c r="B911" t="s">
        <v>1299</v>
      </c>
      <c r="C911" s="1">
        <v>20254</v>
      </c>
      <c r="D911" t="s">
        <v>28</v>
      </c>
      <c r="E911">
        <v>5373053428</v>
      </c>
      <c r="F911" t="s">
        <v>3126</v>
      </c>
      <c r="G911" s="2" t="s">
        <v>3127</v>
      </c>
      <c r="H911">
        <v>7059041179</v>
      </c>
      <c r="I911" t="s">
        <v>3128</v>
      </c>
    </row>
    <row r="912" spans="1:9" ht="86.4">
      <c r="A912" t="s">
        <v>3518</v>
      </c>
      <c r="B912" t="s">
        <v>1232</v>
      </c>
      <c r="C912" s="1">
        <v>28841</v>
      </c>
      <c r="D912" t="s">
        <v>15</v>
      </c>
      <c r="E912">
        <v>919960874961</v>
      </c>
      <c r="F912" t="s">
        <v>3129</v>
      </c>
      <c r="G912" s="2" t="s">
        <v>3130</v>
      </c>
      <c r="H912">
        <v>8627482300</v>
      </c>
      <c r="I912" t="s">
        <v>3131</v>
      </c>
    </row>
    <row r="913" spans="1:9">
      <c r="A913" t="s">
        <v>3517</v>
      </c>
      <c r="B913" t="s">
        <v>3132</v>
      </c>
      <c r="C913" s="1">
        <v>38019</v>
      </c>
      <c r="D913" t="s">
        <v>28</v>
      </c>
      <c r="E913">
        <v>913672115678</v>
      </c>
      <c r="F913" t="s">
        <v>3133</v>
      </c>
      <c r="G913" t="s">
        <v>3134</v>
      </c>
      <c r="H913">
        <v>8131915181</v>
      </c>
      <c r="I913" t="s">
        <v>3135</v>
      </c>
    </row>
    <row r="914" spans="1:9" ht="72">
      <c r="A914" t="s">
        <v>3458</v>
      </c>
      <c r="B914" t="s">
        <v>2257</v>
      </c>
      <c r="C914" s="1">
        <v>36062</v>
      </c>
      <c r="D914" t="s">
        <v>10</v>
      </c>
      <c r="E914">
        <v>4940581519</v>
      </c>
      <c r="F914" t="s">
        <v>3136</v>
      </c>
      <c r="G914" s="2" t="s">
        <v>3137</v>
      </c>
      <c r="H914">
        <v>6611772942</v>
      </c>
      <c r="I914" t="s">
        <v>3138</v>
      </c>
    </row>
    <row r="915" spans="1:9" ht="100.8">
      <c r="A915" t="s">
        <v>3611</v>
      </c>
      <c r="B915" t="s">
        <v>1559</v>
      </c>
      <c r="C915" s="1">
        <v>31605</v>
      </c>
      <c r="D915" t="s">
        <v>15</v>
      </c>
      <c r="E915">
        <v>914049779572</v>
      </c>
      <c r="F915" t="s">
        <v>3139</v>
      </c>
      <c r="G915" s="2" t="s">
        <v>3140</v>
      </c>
      <c r="H915">
        <v>6419495832</v>
      </c>
      <c r="I915" t="s">
        <v>3141</v>
      </c>
    </row>
    <row r="916" spans="1:9" ht="86.4">
      <c r="A916" t="s">
        <v>3485</v>
      </c>
      <c r="B916" t="s">
        <v>2291</v>
      </c>
      <c r="C916" s="1">
        <v>23102</v>
      </c>
      <c r="D916" t="s">
        <v>28</v>
      </c>
      <c r="E916">
        <v>9227770859</v>
      </c>
      <c r="F916" t="s">
        <v>3142</v>
      </c>
      <c r="G916" s="2" t="s">
        <v>3143</v>
      </c>
      <c r="H916">
        <v>7694151398</v>
      </c>
      <c r="I916" t="s">
        <v>3144</v>
      </c>
    </row>
    <row r="917" spans="1:9" ht="86.4">
      <c r="A917" t="s">
        <v>3584</v>
      </c>
      <c r="B917" t="s">
        <v>2041</v>
      </c>
      <c r="C917" s="1">
        <v>32983</v>
      </c>
      <c r="D917" t="s">
        <v>10</v>
      </c>
      <c r="E917">
        <v>3175252324</v>
      </c>
      <c r="F917" t="s">
        <v>3145</v>
      </c>
      <c r="G917" s="2" t="s">
        <v>3146</v>
      </c>
      <c r="H917">
        <v>8048294078</v>
      </c>
      <c r="I917" t="s">
        <v>3147</v>
      </c>
    </row>
    <row r="918" spans="1:9" ht="86.4">
      <c r="A918" t="s">
        <v>3429</v>
      </c>
      <c r="B918" t="s">
        <v>218</v>
      </c>
      <c r="C918" s="1">
        <v>32156</v>
      </c>
      <c r="D918" t="s">
        <v>10</v>
      </c>
      <c r="E918">
        <v>917062587360</v>
      </c>
      <c r="F918" t="s">
        <v>3148</v>
      </c>
      <c r="G918" s="2" t="s">
        <v>3149</v>
      </c>
      <c r="H918">
        <v>7756886371</v>
      </c>
      <c r="I918" t="s">
        <v>3150</v>
      </c>
    </row>
    <row r="919" spans="1:9" ht="72">
      <c r="A919" t="s">
        <v>3540</v>
      </c>
      <c r="B919" t="s">
        <v>222</v>
      </c>
      <c r="C919" s="1">
        <v>38934</v>
      </c>
      <c r="D919" t="s">
        <v>28</v>
      </c>
      <c r="E919">
        <v>3828981223</v>
      </c>
      <c r="F919" t="s">
        <v>3151</v>
      </c>
      <c r="G919" s="2" t="s">
        <v>3152</v>
      </c>
      <c r="H919">
        <v>6442996138</v>
      </c>
      <c r="I919" t="s">
        <v>3153</v>
      </c>
    </row>
    <row r="920" spans="1:9" ht="72">
      <c r="A920" t="s">
        <v>3424</v>
      </c>
      <c r="B920" t="s">
        <v>3154</v>
      </c>
      <c r="C920" s="1">
        <v>37647</v>
      </c>
      <c r="D920" t="s">
        <v>28</v>
      </c>
      <c r="E920">
        <v>3994510683</v>
      </c>
      <c r="F920" t="s">
        <v>3155</v>
      </c>
      <c r="G920" s="2" t="s">
        <v>3156</v>
      </c>
      <c r="H920">
        <v>6250969412</v>
      </c>
      <c r="I920" t="s">
        <v>3157</v>
      </c>
    </row>
    <row r="921" spans="1:9" ht="72">
      <c r="A921" t="s">
        <v>3420</v>
      </c>
      <c r="B921" t="s">
        <v>418</v>
      </c>
      <c r="C921" s="1">
        <v>17868</v>
      </c>
      <c r="D921" t="s">
        <v>10</v>
      </c>
      <c r="E921">
        <v>8886081107</v>
      </c>
      <c r="F921" t="s">
        <v>3158</v>
      </c>
      <c r="G921" s="2" t="s">
        <v>3159</v>
      </c>
      <c r="H921">
        <v>3831918043</v>
      </c>
      <c r="I921" t="s">
        <v>3160</v>
      </c>
    </row>
    <row r="922" spans="1:9" ht="72">
      <c r="A922" t="s">
        <v>3476</v>
      </c>
      <c r="B922" t="s">
        <v>426</v>
      </c>
      <c r="C922" s="1">
        <v>27167</v>
      </c>
      <c r="D922" t="s">
        <v>10</v>
      </c>
      <c r="E922">
        <v>4218180187</v>
      </c>
      <c r="F922" t="s">
        <v>3161</v>
      </c>
      <c r="G922" s="2" t="s">
        <v>3162</v>
      </c>
      <c r="H922">
        <v>2178170423</v>
      </c>
      <c r="I922" t="s">
        <v>3163</v>
      </c>
    </row>
    <row r="923" spans="1:9" ht="86.4">
      <c r="A923" t="s">
        <v>3483</v>
      </c>
      <c r="B923" t="s">
        <v>64</v>
      </c>
      <c r="C923" s="1">
        <v>38007</v>
      </c>
      <c r="D923" t="s">
        <v>28</v>
      </c>
      <c r="E923">
        <v>910630416527</v>
      </c>
      <c r="F923" t="s">
        <v>3164</v>
      </c>
      <c r="G923" s="2" t="s">
        <v>3165</v>
      </c>
      <c r="H923">
        <v>137020981</v>
      </c>
      <c r="I923" t="s">
        <v>3166</v>
      </c>
    </row>
    <row r="924" spans="1:9" ht="72">
      <c r="A924" t="s">
        <v>3549</v>
      </c>
      <c r="B924" t="s">
        <v>629</v>
      </c>
      <c r="C924" s="1">
        <v>35337</v>
      </c>
      <c r="D924" t="s">
        <v>28</v>
      </c>
      <c r="E924">
        <v>916077272045</v>
      </c>
      <c r="F924" t="s">
        <v>3167</v>
      </c>
      <c r="G924" s="2" t="s">
        <v>3168</v>
      </c>
      <c r="H924">
        <v>6173051513</v>
      </c>
      <c r="I924" t="s">
        <v>3169</v>
      </c>
    </row>
    <row r="925" spans="1:9" ht="57.6">
      <c r="A925" t="s">
        <v>3427</v>
      </c>
      <c r="B925" t="s">
        <v>929</v>
      </c>
      <c r="C925" s="1">
        <v>25119</v>
      </c>
      <c r="D925" t="s">
        <v>10</v>
      </c>
      <c r="E925">
        <v>917413596653</v>
      </c>
      <c r="F925" t="s">
        <v>3170</v>
      </c>
      <c r="G925" s="2" t="s">
        <v>3171</v>
      </c>
      <c r="H925">
        <v>2675014683</v>
      </c>
      <c r="I925" t="s">
        <v>3172</v>
      </c>
    </row>
    <row r="926" spans="1:9" ht="72">
      <c r="A926" t="s">
        <v>3607</v>
      </c>
      <c r="B926" t="s">
        <v>1880</v>
      </c>
      <c r="C926" s="1">
        <v>33563</v>
      </c>
      <c r="D926" t="s">
        <v>10</v>
      </c>
      <c r="E926">
        <v>5846420181</v>
      </c>
      <c r="F926" t="s">
        <v>3173</v>
      </c>
      <c r="G926" s="2" t="s">
        <v>3174</v>
      </c>
      <c r="H926">
        <v>7750461622</v>
      </c>
      <c r="I926" t="s">
        <v>3175</v>
      </c>
    </row>
    <row r="927" spans="1:9" ht="86.4">
      <c r="A927" t="s">
        <v>3611</v>
      </c>
      <c r="B927" t="s">
        <v>3069</v>
      </c>
      <c r="C927" s="1">
        <v>33646</v>
      </c>
      <c r="D927" t="s">
        <v>28</v>
      </c>
      <c r="E927">
        <v>7202048710</v>
      </c>
      <c r="F927" t="s">
        <v>3176</v>
      </c>
      <c r="G927" s="2" t="s">
        <v>3177</v>
      </c>
      <c r="H927">
        <v>5080029069</v>
      </c>
      <c r="I927" t="s">
        <v>3178</v>
      </c>
    </row>
    <row r="928" spans="1:9" ht="86.4">
      <c r="A928" t="s">
        <v>3592</v>
      </c>
      <c r="B928" t="s">
        <v>3179</v>
      </c>
      <c r="C928" s="1">
        <v>21281</v>
      </c>
      <c r="D928" t="s">
        <v>28</v>
      </c>
      <c r="E928">
        <v>4361090982</v>
      </c>
      <c r="F928" t="s">
        <v>3180</v>
      </c>
      <c r="G928" s="2" t="s">
        <v>3181</v>
      </c>
      <c r="H928">
        <v>2525531341</v>
      </c>
      <c r="I928" t="s">
        <v>3182</v>
      </c>
    </row>
    <row r="929" spans="1:9">
      <c r="A929" t="s">
        <v>3583</v>
      </c>
      <c r="B929" t="s">
        <v>535</v>
      </c>
      <c r="C929" s="1">
        <v>27022</v>
      </c>
      <c r="D929" t="s">
        <v>10</v>
      </c>
      <c r="E929">
        <v>163790584</v>
      </c>
      <c r="F929" t="s">
        <v>3183</v>
      </c>
      <c r="G929" t="s">
        <v>3184</v>
      </c>
      <c r="H929">
        <v>6764785625</v>
      </c>
      <c r="I929" t="s">
        <v>3185</v>
      </c>
    </row>
    <row r="930" spans="1:9" ht="86.4">
      <c r="A930" t="s">
        <v>3468</v>
      </c>
      <c r="B930" t="s">
        <v>3186</v>
      </c>
      <c r="C930" s="1">
        <v>37569</v>
      </c>
      <c r="D930" t="s">
        <v>28</v>
      </c>
      <c r="E930">
        <v>9925709928</v>
      </c>
      <c r="F930" t="s">
        <v>3187</v>
      </c>
      <c r="G930" s="2" t="s">
        <v>3188</v>
      </c>
      <c r="H930">
        <v>1819805283</v>
      </c>
      <c r="I930" t="s">
        <v>3189</v>
      </c>
    </row>
    <row r="931" spans="1:9" ht="72">
      <c r="A931" t="s">
        <v>3415</v>
      </c>
      <c r="B931" t="s">
        <v>3190</v>
      </c>
      <c r="C931" s="1">
        <v>31280</v>
      </c>
      <c r="D931" t="s">
        <v>28</v>
      </c>
      <c r="E931">
        <v>910388401677</v>
      </c>
      <c r="F931" t="s">
        <v>3191</v>
      </c>
      <c r="G931" s="2" t="s">
        <v>3192</v>
      </c>
      <c r="H931">
        <v>6914387673</v>
      </c>
      <c r="I931" t="s">
        <v>3193</v>
      </c>
    </row>
    <row r="932" spans="1:9" ht="86.4">
      <c r="A932" t="s">
        <v>3589</v>
      </c>
      <c r="B932" t="s">
        <v>1065</v>
      </c>
      <c r="C932" s="1">
        <v>28095</v>
      </c>
      <c r="D932" t="s">
        <v>28</v>
      </c>
      <c r="E932">
        <v>6959792962</v>
      </c>
      <c r="F932" t="s">
        <v>3194</v>
      </c>
      <c r="G932" s="2" t="s">
        <v>3195</v>
      </c>
      <c r="H932">
        <v>1343076832</v>
      </c>
      <c r="I932" t="s">
        <v>3196</v>
      </c>
    </row>
    <row r="933" spans="1:9" ht="72">
      <c r="A933" t="s">
        <v>3528</v>
      </c>
      <c r="B933" t="s">
        <v>2086</v>
      </c>
      <c r="C933" s="1">
        <v>28550</v>
      </c>
      <c r="D933" t="s">
        <v>28</v>
      </c>
      <c r="E933">
        <v>915191702423</v>
      </c>
      <c r="F933" t="s">
        <v>3197</v>
      </c>
      <c r="G933" s="2" t="s">
        <v>3198</v>
      </c>
      <c r="H933">
        <v>8261114762</v>
      </c>
      <c r="I933" t="s">
        <v>3199</v>
      </c>
    </row>
    <row r="934" spans="1:9" ht="72">
      <c r="A934" t="s">
        <v>3501</v>
      </c>
      <c r="B934" t="s">
        <v>1325</v>
      </c>
      <c r="C934" s="1">
        <v>26372</v>
      </c>
      <c r="D934" t="s">
        <v>15</v>
      </c>
      <c r="E934">
        <v>1455647311</v>
      </c>
      <c r="F934" t="s">
        <v>3200</v>
      </c>
      <c r="G934" s="2" t="s">
        <v>3201</v>
      </c>
      <c r="H934">
        <v>6560880418</v>
      </c>
      <c r="I934" t="s">
        <v>3202</v>
      </c>
    </row>
    <row r="935" spans="1:9" ht="72">
      <c r="A935" t="s">
        <v>3487</v>
      </c>
      <c r="B935" t="s">
        <v>414</v>
      </c>
      <c r="C935" s="1">
        <v>37257</v>
      </c>
      <c r="D935" t="s">
        <v>15</v>
      </c>
      <c r="E935">
        <v>916173460873</v>
      </c>
      <c r="F935" t="s">
        <v>3203</v>
      </c>
      <c r="G935" s="2" t="s">
        <v>3204</v>
      </c>
      <c r="H935">
        <v>3491164764</v>
      </c>
      <c r="I935" t="s">
        <v>3205</v>
      </c>
    </row>
    <row r="936" spans="1:9" ht="72">
      <c r="A936" t="s">
        <v>3516</v>
      </c>
      <c r="B936" t="s">
        <v>3206</v>
      </c>
      <c r="C936" s="1">
        <v>23639</v>
      </c>
      <c r="D936" t="s">
        <v>10</v>
      </c>
      <c r="E936">
        <v>7227818155</v>
      </c>
      <c r="F936" t="s">
        <v>3207</v>
      </c>
      <c r="G936" s="2" t="s">
        <v>3208</v>
      </c>
      <c r="H936">
        <v>2874907264</v>
      </c>
      <c r="I936" t="s">
        <v>3209</v>
      </c>
    </row>
    <row r="937" spans="1:9" ht="57.6">
      <c r="A937" t="s">
        <v>3527</v>
      </c>
      <c r="B937" t="s">
        <v>319</v>
      </c>
      <c r="C937" s="1">
        <v>29776</v>
      </c>
      <c r="D937" t="s">
        <v>15</v>
      </c>
      <c r="E937">
        <v>1288379398</v>
      </c>
      <c r="F937" t="s">
        <v>3210</v>
      </c>
      <c r="G937" s="2" t="s">
        <v>3211</v>
      </c>
      <c r="H937">
        <v>2072486115</v>
      </c>
      <c r="I937" t="s">
        <v>3212</v>
      </c>
    </row>
    <row r="938" spans="1:9" ht="86.4">
      <c r="A938" t="s">
        <v>3452</v>
      </c>
      <c r="B938" t="s">
        <v>56</v>
      </c>
      <c r="C938" s="1">
        <v>32143</v>
      </c>
      <c r="D938" t="s">
        <v>28</v>
      </c>
      <c r="E938">
        <v>6701412804</v>
      </c>
      <c r="F938" t="s">
        <v>3213</v>
      </c>
      <c r="G938" s="2" t="s">
        <v>3214</v>
      </c>
      <c r="H938">
        <v>7327760639</v>
      </c>
      <c r="I938" t="s">
        <v>3215</v>
      </c>
    </row>
    <row r="939" spans="1:9">
      <c r="A939" t="s">
        <v>3525</v>
      </c>
      <c r="B939" t="s">
        <v>831</v>
      </c>
      <c r="C939" s="1">
        <v>29621</v>
      </c>
      <c r="D939" t="s">
        <v>15</v>
      </c>
      <c r="E939">
        <v>1698436633</v>
      </c>
      <c r="F939" t="s">
        <v>3216</v>
      </c>
      <c r="G939" t="s">
        <v>3217</v>
      </c>
      <c r="H939">
        <v>3618837448</v>
      </c>
      <c r="I939" t="s">
        <v>3218</v>
      </c>
    </row>
    <row r="940" spans="1:9" ht="57.6">
      <c r="A940" t="s">
        <v>3586</v>
      </c>
      <c r="B940" t="s">
        <v>108</v>
      </c>
      <c r="C940" s="1">
        <v>17935</v>
      </c>
      <c r="D940" t="s">
        <v>10</v>
      </c>
      <c r="E940">
        <v>915670217829</v>
      </c>
      <c r="F940" t="s">
        <v>3219</v>
      </c>
      <c r="G940" s="2" t="s">
        <v>3220</v>
      </c>
      <c r="H940">
        <v>1269808655</v>
      </c>
      <c r="I940" t="s">
        <v>3221</v>
      </c>
    </row>
    <row r="941" spans="1:9" ht="72">
      <c r="A941" t="s">
        <v>3433</v>
      </c>
      <c r="B941" t="s">
        <v>629</v>
      </c>
      <c r="C941" s="1">
        <v>30155</v>
      </c>
      <c r="D941" t="s">
        <v>10</v>
      </c>
      <c r="E941">
        <v>8393132940</v>
      </c>
      <c r="F941" t="s">
        <v>3222</v>
      </c>
      <c r="G941" s="2" t="s">
        <v>3223</v>
      </c>
      <c r="H941">
        <v>560557384</v>
      </c>
      <c r="I941" t="s">
        <v>3224</v>
      </c>
    </row>
    <row r="942" spans="1:9" ht="72">
      <c r="A942" t="s">
        <v>3533</v>
      </c>
      <c r="B942" t="s">
        <v>1276</v>
      </c>
      <c r="C942" s="1">
        <v>20721</v>
      </c>
      <c r="D942" t="s">
        <v>10</v>
      </c>
      <c r="E942">
        <v>1531766024</v>
      </c>
      <c r="F942" t="s">
        <v>3225</v>
      </c>
      <c r="G942" s="2" t="s">
        <v>3226</v>
      </c>
      <c r="H942">
        <v>8342605338</v>
      </c>
      <c r="I942" t="s">
        <v>3227</v>
      </c>
    </row>
    <row r="943" spans="1:9">
      <c r="A943" t="s">
        <v>3489</v>
      </c>
      <c r="B943" t="s">
        <v>751</v>
      </c>
      <c r="C943" s="1">
        <v>19074</v>
      </c>
      <c r="D943" t="s">
        <v>15</v>
      </c>
      <c r="E943">
        <v>1875880414</v>
      </c>
      <c r="F943" t="s">
        <v>3228</v>
      </c>
      <c r="G943" t="s">
        <v>3229</v>
      </c>
      <c r="H943">
        <v>4431213455</v>
      </c>
      <c r="I943" t="s">
        <v>3230</v>
      </c>
    </row>
    <row r="944" spans="1:9">
      <c r="A944" t="s">
        <v>3447</v>
      </c>
      <c r="B944" t="s">
        <v>3231</v>
      </c>
      <c r="C944" s="1">
        <v>37254</v>
      </c>
      <c r="D944" t="s">
        <v>15</v>
      </c>
      <c r="E944">
        <v>7230636578</v>
      </c>
      <c r="F944" t="s">
        <v>3232</v>
      </c>
      <c r="G944" t="s">
        <v>3233</v>
      </c>
      <c r="H944">
        <v>6737196755</v>
      </c>
      <c r="I944" t="s">
        <v>3234</v>
      </c>
    </row>
    <row r="945" spans="1:9" ht="57.6">
      <c r="A945" t="s">
        <v>3422</v>
      </c>
      <c r="B945" t="s">
        <v>648</v>
      </c>
      <c r="C945" s="1">
        <v>21884</v>
      </c>
      <c r="D945" t="s">
        <v>15</v>
      </c>
      <c r="E945">
        <v>9443882697</v>
      </c>
      <c r="F945" t="s">
        <v>3235</v>
      </c>
      <c r="G945" s="2" t="s">
        <v>3236</v>
      </c>
      <c r="H945">
        <v>1835909490</v>
      </c>
      <c r="I945" t="s">
        <v>3237</v>
      </c>
    </row>
    <row r="946" spans="1:9" ht="86.4">
      <c r="A946" t="s">
        <v>3414</v>
      </c>
      <c r="B946" t="s">
        <v>759</v>
      </c>
      <c r="C946" s="1">
        <v>25287</v>
      </c>
      <c r="D946" t="s">
        <v>10</v>
      </c>
      <c r="E946">
        <v>5278610954</v>
      </c>
      <c r="F946" t="s">
        <v>3238</v>
      </c>
      <c r="G946" s="2" t="s">
        <v>3239</v>
      </c>
      <c r="H946">
        <v>356899108</v>
      </c>
      <c r="I946" t="s">
        <v>3240</v>
      </c>
    </row>
    <row r="947" spans="1:9">
      <c r="A947" t="s">
        <v>3615</v>
      </c>
      <c r="B947" t="s">
        <v>2848</v>
      </c>
      <c r="C947" s="1">
        <v>22584</v>
      </c>
      <c r="D947" t="s">
        <v>28</v>
      </c>
      <c r="E947">
        <v>9392567974</v>
      </c>
      <c r="F947" t="s">
        <v>3241</v>
      </c>
      <c r="G947" t="s">
        <v>3242</v>
      </c>
      <c r="H947">
        <v>1303262498</v>
      </c>
      <c r="I947" t="s">
        <v>3243</v>
      </c>
    </row>
    <row r="948" spans="1:9" ht="72">
      <c r="A948" t="s">
        <v>3471</v>
      </c>
      <c r="B948" t="s">
        <v>1913</v>
      </c>
      <c r="C948" s="1">
        <v>29919</v>
      </c>
      <c r="D948" t="s">
        <v>28</v>
      </c>
      <c r="E948">
        <v>536443495</v>
      </c>
      <c r="F948" t="s">
        <v>3244</v>
      </c>
      <c r="G948" s="2" t="s">
        <v>3245</v>
      </c>
      <c r="H948">
        <v>9205365045</v>
      </c>
      <c r="I948" t="s">
        <v>3246</v>
      </c>
    </row>
    <row r="949" spans="1:9">
      <c r="A949" t="s">
        <v>3439</v>
      </c>
      <c r="B949" t="s">
        <v>3247</v>
      </c>
      <c r="C949" s="1">
        <v>23257</v>
      </c>
      <c r="D949" t="s">
        <v>10</v>
      </c>
      <c r="E949">
        <v>911524041575</v>
      </c>
      <c r="F949" t="s">
        <v>3248</v>
      </c>
      <c r="G949" t="s">
        <v>3249</v>
      </c>
      <c r="H949">
        <v>4457661629</v>
      </c>
      <c r="I949" t="s">
        <v>3250</v>
      </c>
    </row>
    <row r="950" spans="1:9" ht="57.6">
      <c r="A950" t="s">
        <v>3468</v>
      </c>
      <c r="B950" t="s">
        <v>1198</v>
      </c>
      <c r="C950" s="1">
        <v>33642</v>
      </c>
      <c r="D950" t="s">
        <v>10</v>
      </c>
      <c r="E950">
        <v>7326523465</v>
      </c>
      <c r="F950" t="s">
        <v>3251</v>
      </c>
      <c r="G950" s="2" t="s">
        <v>3252</v>
      </c>
      <c r="H950">
        <v>1435354256</v>
      </c>
      <c r="I950" t="s">
        <v>3253</v>
      </c>
    </row>
    <row r="951" spans="1:9" ht="86.4">
      <c r="A951" t="s">
        <v>3418</v>
      </c>
      <c r="B951" t="s">
        <v>876</v>
      </c>
      <c r="C951" s="1">
        <v>30423</v>
      </c>
      <c r="D951" t="s">
        <v>10</v>
      </c>
      <c r="E951">
        <v>7513407491</v>
      </c>
      <c r="F951" t="s">
        <v>3254</v>
      </c>
      <c r="G951" s="2" t="s">
        <v>3255</v>
      </c>
      <c r="H951">
        <v>1959737253</v>
      </c>
      <c r="I951" t="s">
        <v>3256</v>
      </c>
    </row>
    <row r="952" spans="1:9" ht="72">
      <c r="A952" t="s">
        <v>3474</v>
      </c>
      <c r="B952" t="s">
        <v>132</v>
      </c>
      <c r="C952" s="1">
        <v>37277</v>
      </c>
      <c r="D952" t="s">
        <v>10</v>
      </c>
      <c r="E952">
        <v>4280540092</v>
      </c>
      <c r="F952" t="s">
        <v>3257</v>
      </c>
      <c r="G952" s="2" t="s">
        <v>3258</v>
      </c>
      <c r="H952">
        <v>555562849</v>
      </c>
      <c r="I952" t="s">
        <v>3259</v>
      </c>
    </row>
    <row r="953" spans="1:9" ht="86.4">
      <c r="A953" t="s">
        <v>3540</v>
      </c>
      <c r="B953" t="s">
        <v>2584</v>
      </c>
      <c r="C953" s="1">
        <v>32598</v>
      </c>
      <c r="D953" t="s">
        <v>28</v>
      </c>
      <c r="E953">
        <v>919943109518</v>
      </c>
      <c r="F953" t="s">
        <v>3260</v>
      </c>
      <c r="G953" s="2" t="s">
        <v>3261</v>
      </c>
      <c r="H953">
        <v>5984607456</v>
      </c>
      <c r="I953" t="s">
        <v>3262</v>
      </c>
    </row>
    <row r="954" spans="1:9" ht="72">
      <c r="A954" t="s">
        <v>3605</v>
      </c>
      <c r="B954" t="s">
        <v>2277</v>
      </c>
      <c r="C954" s="1">
        <v>33706</v>
      </c>
      <c r="D954" t="s">
        <v>15</v>
      </c>
      <c r="E954">
        <v>7587509802</v>
      </c>
      <c r="F954" t="s">
        <v>3263</v>
      </c>
      <c r="G954" s="2" t="s">
        <v>3264</v>
      </c>
      <c r="H954">
        <v>2444073197</v>
      </c>
      <c r="I954" t="s">
        <v>3265</v>
      </c>
    </row>
    <row r="955" spans="1:9" ht="72">
      <c r="A955" t="s">
        <v>3494</v>
      </c>
      <c r="B955" t="s">
        <v>406</v>
      </c>
      <c r="C955" s="1">
        <v>27708</v>
      </c>
      <c r="D955" t="s">
        <v>15</v>
      </c>
      <c r="E955">
        <v>2916942616</v>
      </c>
      <c r="F955" t="s">
        <v>3266</v>
      </c>
      <c r="G955" s="2" t="s">
        <v>3267</v>
      </c>
      <c r="H955">
        <v>1618321529</v>
      </c>
      <c r="I955" t="s">
        <v>3268</v>
      </c>
    </row>
    <row r="956" spans="1:9" ht="72">
      <c r="A956" t="s">
        <v>3434</v>
      </c>
      <c r="B956" t="s">
        <v>1310</v>
      </c>
      <c r="C956" s="1">
        <v>24483</v>
      </c>
      <c r="D956" t="s">
        <v>28</v>
      </c>
      <c r="E956">
        <v>910860428316</v>
      </c>
      <c r="F956" t="s">
        <v>3269</v>
      </c>
      <c r="G956" s="2" t="s">
        <v>3270</v>
      </c>
      <c r="H956">
        <v>8921418100</v>
      </c>
      <c r="I956" t="s">
        <v>3271</v>
      </c>
    </row>
    <row r="957" spans="1:9" ht="86.4">
      <c r="A957" t="s">
        <v>3540</v>
      </c>
      <c r="B957" t="s">
        <v>3272</v>
      </c>
      <c r="C957" s="1">
        <v>31076</v>
      </c>
      <c r="D957" t="s">
        <v>15</v>
      </c>
      <c r="E957">
        <v>117056476</v>
      </c>
      <c r="F957" t="s">
        <v>3273</v>
      </c>
      <c r="G957" s="2" t="s">
        <v>3274</v>
      </c>
      <c r="H957">
        <v>7848652308</v>
      </c>
      <c r="I957" t="s">
        <v>3275</v>
      </c>
    </row>
    <row r="958" spans="1:9" ht="72">
      <c r="A958" t="s">
        <v>3570</v>
      </c>
      <c r="B958" t="s">
        <v>1095</v>
      </c>
      <c r="C958" s="1">
        <v>31362</v>
      </c>
      <c r="D958" t="s">
        <v>28</v>
      </c>
      <c r="E958">
        <v>910700026755</v>
      </c>
      <c r="F958" t="s">
        <v>3276</v>
      </c>
      <c r="G958" s="2" t="s">
        <v>3277</v>
      </c>
      <c r="H958">
        <v>1726330804</v>
      </c>
      <c r="I958" t="s">
        <v>3278</v>
      </c>
    </row>
    <row r="959" spans="1:9" ht="72">
      <c r="A959" t="s">
        <v>3423</v>
      </c>
      <c r="B959" t="s">
        <v>831</v>
      </c>
      <c r="C959" s="1">
        <v>26957</v>
      </c>
      <c r="D959" t="s">
        <v>15</v>
      </c>
      <c r="E959">
        <v>443065772</v>
      </c>
      <c r="F959" t="s">
        <v>3279</v>
      </c>
      <c r="G959" s="2" t="s">
        <v>3280</v>
      </c>
      <c r="H959">
        <v>1107068686</v>
      </c>
      <c r="I959" t="s">
        <v>3281</v>
      </c>
    </row>
    <row r="960" spans="1:9">
      <c r="A960" t="s">
        <v>3601</v>
      </c>
      <c r="B960" t="s">
        <v>1133</v>
      </c>
      <c r="C960" s="1">
        <v>31478</v>
      </c>
      <c r="D960" t="s">
        <v>28</v>
      </c>
      <c r="E960">
        <v>5374252577</v>
      </c>
      <c r="F960" t="s">
        <v>3282</v>
      </c>
      <c r="G960" t="s">
        <v>3283</v>
      </c>
      <c r="H960">
        <v>715199632</v>
      </c>
      <c r="I960" t="s">
        <v>3284</v>
      </c>
    </row>
    <row r="961" spans="1:9" ht="100.8">
      <c r="A961" t="s">
        <v>3466</v>
      </c>
      <c r="B961" t="s">
        <v>872</v>
      </c>
      <c r="C961" s="1">
        <v>35275</v>
      </c>
      <c r="D961" t="s">
        <v>15</v>
      </c>
      <c r="E961">
        <v>915953384162</v>
      </c>
      <c r="F961" t="s">
        <v>3285</v>
      </c>
      <c r="G961" s="2" t="s">
        <v>3286</v>
      </c>
      <c r="H961">
        <v>3568087793</v>
      </c>
      <c r="I961" t="s">
        <v>3287</v>
      </c>
    </row>
    <row r="962" spans="1:9">
      <c r="A962" t="s">
        <v>3453</v>
      </c>
      <c r="B962" t="s">
        <v>3231</v>
      </c>
      <c r="C962" s="1">
        <v>21412</v>
      </c>
      <c r="D962" t="s">
        <v>10</v>
      </c>
      <c r="E962">
        <v>918743096474</v>
      </c>
      <c r="F962" t="s">
        <v>3288</v>
      </c>
      <c r="G962" t="s">
        <v>3289</v>
      </c>
      <c r="H962">
        <v>6277331258</v>
      </c>
      <c r="I962" t="s">
        <v>3290</v>
      </c>
    </row>
    <row r="963" spans="1:9" ht="57.6">
      <c r="A963" t="s">
        <v>3607</v>
      </c>
      <c r="B963" t="s">
        <v>1250</v>
      </c>
      <c r="C963" s="1">
        <v>20419</v>
      </c>
      <c r="D963" t="s">
        <v>10</v>
      </c>
      <c r="E963">
        <v>7447652246</v>
      </c>
      <c r="F963" t="s">
        <v>3291</v>
      </c>
      <c r="G963" s="2" t="s">
        <v>3292</v>
      </c>
      <c r="H963">
        <v>5005745807</v>
      </c>
      <c r="I963" t="s">
        <v>3293</v>
      </c>
    </row>
    <row r="964" spans="1:9" ht="57.6">
      <c r="A964" t="s">
        <v>3459</v>
      </c>
      <c r="B964" t="s">
        <v>40</v>
      </c>
      <c r="C964" s="1">
        <v>24033</v>
      </c>
      <c r="D964" t="s">
        <v>15</v>
      </c>
      <c r="E964">
        <v>912760783359</v>
      </c>
      <c r="F964" t="s">
        <v>3294</v>
      </c>
      <c r="G964" s="2" t="s">
        <v>3295</v>
      </c>
      <c r="H964">
        <v>4614119101</v>
      </c>
      <c r="I964" t="s">
        <v>3296</v>
      </c>
    </row>
    <row r="965" spans="1:9" ht="72">
      <c r="A965" t="s">
        <v>3475</v>
      </c>
      <c r="B965" t="s">
        <v>1010</v>
      </c>
      <c r="C965" s="1">
        <v>32167</v>
      </c>
      <c r="D965" t="s">
        <v>28</v>
      </c>
      <c r="E965">
        <v>3584480127</v>
      </c>
      <c r="F965" t="s">
        <v>3297</v>
      </c>
      <c r="G965" s="2" t="s">
        <v>3298</v>
      </c>
      <c r="H965">
        <v>803089229</v>
      </c>
      <c r="I965" t="s">
        <v>3299</v>
      </c>
    </row>
    <row r="966" spans="1:9" ht="72">
      <c r="A966" t="s">
        <v>3487</v>
      </c>
      <c r="B966" t="s">
        <v>2086</v>
      </c>
      <c r="C966" s="1">
        <v>25169</v>
      </c>
      <c r="D966" t="s">
        <v>15</v>
      </c>
      <c r="E966">
        <v>912937645265</v>
      </c>
      <c r="F966" t="s">
        <v>3300</v>
      </c>
      <c r="G966" s="2" t="s">
        <v>3301</v>
      </c>
      <c r="H966">
        <v>8800300537</v>
      </c>
      <c r="I966" t="s">
        <v>3302</v>
      </c>
    </row>
    <row r="967" spans="1:9" ht="72">
      <c r="A967" t="s">
        <v>3556</v>
      </c>
      <c r="B967" t="s">
        <v>1162</v>
      </c>
      <c r="C967" s="1">
        <v>34123</v>
      </c>
      <c r="D967" t="s">
        <v>15</v>
      </c>
      <c r="E967">
        <v>2030710816</v>
      </c>
      <c r="F967" t="s">
        <v>3303</v>
      </c>
      <c r="G967" s="2" t="s">
        <v>3304</v>
      </c>
      <c r="H967">
        <v>2942863583</v>
      </c>
      <c r="I967" t="s">
        <v>3305</v>
      </c>
    </row>
    <row r="968" spans="1:9" ht="57.6">
      <c r="A968" t="s">
        <v>3445</v>
      </c>
      <c r="B968" t="s">
        <v>3306</v>
      </c>
      <c r="C968" s="1">
        <v>33855</v>
      </c>
      <c r="D968" t="s">
        <v>10</v>
      </c>
      <c r="E968">
        <v>4955910923</v>
      </c>
      <c r="F968" t="s">
        <v>3307</v>
      </c>
      <c r="G968" s="2" t="s">
        <v>3308</v>
      </c>
      <c r="H968">
        <v>296149909</v>
      </c>
      <c r="I968" t="s">
        <v>3309</v>
      </c>
    </row>
    <row r="969" spans="1:9" ht="72">
      <c r="A969" t="s">
        <v>3614</v>
      </c>
      <c r="B969" t="s">
        <v>1169</v>
      </c>
      <c r="C969" s="1">
        <v>22477</v>
      </c>
      <c r="D969" t="s">
        <v>28</v>
      </c>
      <c r="E969">
        <v>9891454811</v>
      </c>
      <c r="F969" t="s">
        <v>3310</v>
      </c>
      <c r="G969" s="2" t="s">
        <v>3311</v>
      </c>
      <c r="H969">
        <v>8072008057</v>
      </c>
      <c r="I969" t="s">
        <v>3312</v>
      </c>
    </row>
    <row r="970" spans="1:9" ht="86.4">
      <c r="A970" t="s">
        <v>3495</v>
      </c>
      <c r="B970" t="s">
        <v>2284</v>
      </c>
      <c r="C970" s="1">
        <v>25818</v>
      </c>
      <c r="D970" t="s">
        <v>10</v>
      </c>
      <c r="E970">
        <v>2925556808</v>
      </c>
      <c r="F970" t="s">
        <v>3313</v>
      </c>
      <c r="G970" s="2" t="s">
        <v>3314</v>
      </c>
      <c r="H970">
        <v>25190672</v>
      </c>
      <c r="I970" t="s">
        <v>3315</v>
      </c>
    </row>
    <row r="971" spans="1:9" ht="72">
      <c r="A971" t="s">
        <v>3591</v>
      </c>
      <c r="B971" t="s">
        <v>3316</v>
      </c>
      <c r="C971" s="1">
        <v>21787</v>
      </c>
      <c r="D971" t="s">
        <v>15</v>
      </c>
      <c r="E971">
        <v>8774763083</v>
      </c>
      <c r="F971" t="s">
        <v>3317</v>
      </c>
      <c r="G971" s="2" t="s">
        <v>3318</v>
      </c>
      <c r="H971">
        <v>597573368</v>
      </c>
      <c r="I971" t="s">
        <v>3319</v>
      </c>
    </row>
    <row r="972" spans="1:9">
      <c r="A972" t="s">
        <v>3419</v>
      </c>
      <c r="B972" t="s">
        <v>264</v>
      </c>
      <c r="C972" s="1">
        <v>26075</v>
      </c>
      <c r="D972" t="s">
        <v>10</v>
      </c>
      <c r="E972">
        <v>6856850664</v>
      </c>
      <c r="F972" t="s">
        <v>3320</v>
      </c>
      <c r="G972" t="s">
        <v>3321</v>
      </c>
      <c r="H972">
        <v>9852948447</v>
      </c>
      <c r="I972" t="s">
        <v>3322</v>
      </c>
    </row>
    <row r="973" spans="1:9" ht="72">
      <c r="A973" t="s">
        <v>3547</v>
      </c>
      <c r="B973" t="s">
        <v>954</v>
      </c>
      <c r="C973" s="1">
        <v>36844</v>
      </c>
      <c r="D973" t="s">
        <v>28</v>
      </c>
      <c r="E973">
        <v>917069511819</v>
      </c>
      <c r="F973" t="s">
        <v>3323</v>
      </c>
      <c r="G973" s="2" t="s">
        <v>3324</v>
      </c>
      <c r="H973">
        <v>7118016774</v>
      </c>
      <c r="I973" t="s">
        <v>3325</v>
      </c>
    </row>
    <row r="974" spans="1:9" ht="115.2">
      <c r="A974" t="s">
        <v>3476</v>
      </c>
      <c r="B974" t="s">
        <v>609</v>
      </c>
      <c r="C974" s="1">
        <v>21685</v>
      </c>
      <c r="D974" t="s">
        <v>15</v>
      </c>
      <c r="E974">
        <v>1436947493</v>
      </c>
      <c r="F974" t="s">
        <v>3326</v>
      </c>
      <c r="G974" s="2" t="s">
        <v>3327</v>
      </c>
      <c r="H974">
        <v>1965217900</v>
      </c>
      <c r="I974" t="s">
        <v>3328</v>
      </c>
    </row>
    <row r="975" spans="1:9" ht="100.8">
      <c r="A975" t="s">
        <v>3449</v>
      </c>
      <c r="B975" t="s">
        <v>995</v>
      </c>
      <c r="C975" s="1">
        <v>19370</v>
      </c>
      <c r="D975" t="s">
        <v>15</v>
      </c>
      <c r="E975">
        <v>918459587695</v>
      </c>
      <c r="F975" t="s">
        <v>3329</v>
      </c>
      <c r="G975" s="2" t="s">
        <v>3330</v>
      </c>
      <c r="H975">
        <v>4592325802</v>
      </c>
      <c r="I975" t="s">
        <v>3331</v>
      </c>
    </row>
    <row r="976" spans="1:9" ht="72">
      <c r="A976" t="s">
        <v>3540</v>
      </c>
      <c r="B976" t="s">
        <v>398</v>
      </c>
      <c r="C976" s="1">
        <v>29390</v>
      </c>
      <c r="D976" t="s">
        <v>10</v>
      </c>
      <c r="E976">
        <v>3514928632</v>
      </c>
      <c r="F976" t="s">
        <v>3332</v>
      </c>
      <c r="G976" s="2" t="s">
        <v>3333</v>
      </c>
      <c r="H976">
        <v>263356416</v>
      </c>
      <c r="I976" t="s">
        <v>3334</v>
      </c>
    </row>
    <row r="977" spans="1:9" ht="72">
      <c r="A977" t="s">
        <v>3516</v>
      </c>
      <c r="B977" t="s">
        <v>3335</v>
      </c>
      <c r="C977" s="1">
        <v>35749</v>
      </c>
      <c r="D977" t="s">
        <v>28</v>
      </c>
      <c r="E977">
        <v>1435172368</v>
      </c>
      <c r="F977" t="s">
        <v>3336</v>
      </c>
      <c r="G977" s="2" t="s">
        <v>3337</v>
      </c>
      <c r="H977">
        <v>611390045</v>
      </c>
      <c r="I977" t="s">
        <v>3338</v>
      </c>
    </row>
    <row r="978" spans="1:9">
      <c r="A978" t="s">
        <v>3538</v>
      </c>
      <c r="B978" t="s">
        <v>460</v>
      </c>
      <c r="C978" s="1">
        <v>30051</v>
      </c>
      <c r="D978" t="s">
        <v>28</v>
      </c>
      <c r="E978">
        <v>915683355563</v>
      </c>
      <c r="F978" t="s">
        <v>3339</v>
      </c>
      <c r="G978" t="s">
        <v>3340</v>
      </c>
      <c r="H978">
        <v>7926609404</v>
      </c>
      <c r="I978" t="s">
        <v>3341</v>
      </c>
    </row>
    <row r="979" spans="1:9">
      <c r="A979" t="s">
        <v>3606</v>
      </c>
      <c r="B979" t="s">
        <v>1232</v>
      </c>
      <c r="C979" s="1">
        <v>34713</v>
      </c>
      <c r="D979" t="s">
        <v>28</v>
      </c>
      <c r="E979">
        <v>5589906586</v>
      </c>
      <c r="F979" t="s">
        <v>3342</v>
      </c>
      <c r="G979" t="s">
        <v>3343</v>
      </c>
      <c r="H979">
        <v>6359114202</v>
      </c>
      <c r="I979" t="s">
        <v>3344</v>
      </c>
    </row>
    <row r="980" spans="1:9" ht="72">
      <c r="A980" t="s">
        <v>3575</v>
      </c>
      <c r="B980" t="s">
        <v>1478</v>
      </c>
      <c r="C980" s="1">
        <v>36723</v>
      </c>
      <c r="D980" t="s">
        <v>28</v>
      </c>
      <c r="E980">
        <v>914024542249</v>
      </c>
      <c r="F980" t="s">
        <v>3345</v>
      </c>
      <c r="G980" s="2" t="s">
        <v>3346</v>
      </c>
      <c r="H980">
        <v>9135329561</v>
      </c>
      <c r="I980" t="s">
        <v>3347</v>
      </c>
    </row>
    <row r="981" spans="1:9" ht="72">
      <c r="A981" t="s">
        <v>3579</v>
      </c>
      <c r="B981" t="s">
        <v>48</v>
      </c>
      <c r="C981" s="1">
        <v>29961</v>
      </c>
      <c r="D981" t="s">
        <v>28</v>
      </c>
      <c r="E981">
        <v>4089779536</v>
      </c>
      <c r="F981" t="s">
        <v>3348</v>
      </c>
      <c r="G981" s="2" t="s">
        <v>3349</v>
      </c>
      <c r="H981">
        <v>3629245989</v>
      </c>
      <c r="I981" t="s">
        <v>3350</v>
      </c>
    </row>
    <row r="982" spans="1:9" ht="57.6">
      <c r="A982" t="s">
        <v>3462</v>
      </c>
      <c r="B982" t="s">
        <v>372</v>
      </c>
      <c r="C982" s="1">
        <v>30315</v>
      </c>
      <c r="D982" t="s">
        <v>15</v>
      </c>
      <c r="E982">
        <v>911462922228</v>
      </c>
      <c r="F982" t="s">
        <v>3351</v>
      </c>
      <c r="G982" s="2" t="s">
        <v>3352</v>
      </c>
      <c r="H982">
        <v>4522924567</v>
      </c>
      <c r="I982" t="s">
        <v>3353</v>
      </c>
    </row>
    <row r="983" spans="1:9">
      <c r="A983" t="s">
        <v>3598</v>
      </c>
      <c r="B983" t="s">
        <v>850</v>
      </c>
      <c r="C983" s="1">
        <v>24775</v>
      </c>
      <c r="D983" t="s">
        <v>15</v>
      </c>
      <c r="E983">
        <v>2933741535</v>
      </c>
      <c r="F983" t="s">
        <v>3354</v>
      </c>
      <c r="G983" t="s">
        <v>3355</v>
      </c>
      <c r="H983">
        <v>5723230070</v>
      </c>
      <c r="I983" t="s">
        <v>3356</v>
      </c>
    </row>
    <row r="984" spans="1:9" ht="57.6">
      <c r="A984" t="s">
        <v>3484</v>
      </c>
      <c r="B984" t="s">
        <v>291</v>
      </c>
      <c r="C984" s="1">
        <v>29170</v>
      </c>
      <c r="D984" t="s">
        <v>28</v>
      </c>
      <c r="E984">
        <v>7529148356</v>
      </c>
      <c r="F984" t="s">
        <v>3357</v>
      </c>
      <c r="G984" s="2" t="s">
        <v>3358</v>
      </c>
      <c r="H984">
        <v>2412667680</v>
      </c>
      <c r="I984" t="s">
        <v>3359</v>
      </c>
    </row>
    <row r="985" spans="1:9" ht="86.4">
      <c r="A985" t="s">
        <v>3418</v>
      </c>
      <c r="B985" t="s">
        <v>268</v>
      </c>
      <c r="C985" s="1">
        <v>28372</v>
      </c>
      <c r="D985" t="s">
        <v>28</v>
      </c>
      <c r="E985">
        <v>2453206543</v>
      </c>
      <c r="F985" t="s">
        <v>3360</v>
      </c>
      <c r="G985" s="2" t="s">
        <v>3361</v>
      </c>
      <c r="H985">
        <v>5312252649</v>
      </c>
      <c r="I985" t="s">
        <v>3362</v>
      </c>
    </row>
    <row r="986" spans="1:9">
      <c r="A986" t="s">
        <v>3465</v>
      </c>
      <c r="B986" t="s">
        <v>1228</v>
      </c>
      <c r="C986" s="1">
        <v>27305</v>
      </c>
      <c r="D986" t="s">
        <v>15</v>
      </c>
      <c r="E986">
        <v>4286307078</v>
      </c>
      <c r="F986" t="s">
        <v>3363</v>
      </c>
      <c r="G986" t="s">
        <v>3364</v>
      </c>
      <c r="H986">
        <v>9100723149</v>
      </c>
      <c r="I986" t="s">
        <v>3365</v>
      </c>
    </row>
    <row r="987" spans="1:9" ht="86.4">
      <c r="A987" t="s">
        <v>3597</v>
      </c>
      <c r="B987" t="s">
        <v>136</v>
      </c>
      <c r="C987" s="1">
        <v>24411</v>
      </c>
      <c r="D987" t="s">
        <v>15</v>
      </c>
      <c r="E987">
        <v>912107043105</v>
      </c>
      <c r="F987" t="s">
        <v>3366</v>
      </c>
      <c r="G987" s="2" t="s">
        <v>3367</v>
      </c>
      <c r="H987">
        <v>5609514277</v>
      </c>
      <c r="I987" t="s">
        <v>3368</v>
      </c>
    </row>
    <row r="988" spans="1:9" ht="86.4">
      <c r="A988" t="s">
        <v>3477</v>
      </c>
      <c r="B988" t="s">
        <v>1445</v>
      </c>
      <c r="C988" s="1">
        <v>20863</v>
      </c>
      <c r="D988" t="s">
        <v>28</v>
      </c>
      <c r="E988">
        <v>911627143593</v>
      </c>
      <c r="F988" t="s">
        <v>3369</v>
      </c>
      <c r="G988" s="2" t="s">
        <v>3370</v>
      </c>
      <c r="H988">
        <v>725084524</v>
      </c>
      <c r="I988" t="s">
        <v>3371</v>
      </c>
    </row>
    <row r="989" spans="1:9" ht="72">
      <c r="A989" t="s">
        <v>3437</v>
      </c>
      <c r="B989" t="s">
        <v>561</v>
      </c>
      <c r="C989" s="1">
        <v>32565</v>
      </c>
      <c r="D989" t="s">
        <v>28</v>
      </c>
      <c r="E989">
        <v>915336010999</v>
      </c>
      <c r="F989" t="s">
        <v>3372</v>
      </c>
      <c r="G989" s="2" t="s">
        <v>3373</v>
      </c>
      <c r="H989">
        <v>5949254345</v>
      </c>
      <c r="I989" t="s">
        <v>3374</v>
      </c>
    </row>
    <row r="990" spans="1:9" ht="72">
      <c r="A990" t="s">
        <v>3605</v>
      </c>
      <c r="B990" t="s">
        <v>1663</v>
      </c>
      <c r="C990" s="1">
        <v>28601</v>
      </c>
      <c r="D990" t="s">
        <v>15</v>
      </c>
      <c r="E990">
        <v>9664811051</v>
      </c>
      <c r="F990" t="s">
        <v>3375</v>
      </c>
      <c r="G990" s="2" t="s">
        <v>3376</v>
      </c>
      <c r="H990">
        <v>2408935133</v>
      </c>
      <c r="I990" t="s">
        <v>3377</v>
      </c>
    </row>
    <row r="991" spans="1:9" ht="86.4">
      <c r="A991" t="s">
        <v>3418</v>
      </c>
      <c r="B991" t="s">
        <v>3378</v>
      </c>
      <c r="C991" s="1">
        <v>28571</v>
      </c>
      <c r="D991" t="s">
        <v>10</v>
      </c>
      <c r="E991">
        <v>1620172951</v>
      </c>
      <c r="F991" t="s">
        <v>3379</v>
      </c>
      <c r="G991" s="2" t="s">
        <v>3380</v>
      </c>
      <c r="H991">
        <v>8633399506</v>
      </c>
      <c r="I991" t="s">
        <v>3381</v>
      </c>
    </row>
    <row r="992" spans="1:9" ht="86.4">
      <c r="A992" t="s">
        <v>3596</v>
      </c>
      <c r="B992" t="s">
        <v>414</v>
      </c>
      <c r="C992" s="1">
        <v>33873</v>
      </c>
      <c r="D992" t="s">
        <v>10</v>
      </c>
      <c r="E992">
        <v>910509083069</v>
      </c>
      <c r="F992" t="s">
        <v>3382</v>
      </c>
      <c r="G992" s="2" t="s">
        <v>3383</v>
      </c>
      <c r="H992">
        <v>2999076191</v>
      </c>
      <c r="I992" t="s">
        <v>3384</v>
      </c>
    </row>
    <row r="993" spans="1:9" ht="57.6">
      <c r="A993" t="s">
        <v>3616</v>
      </c>
      <c r="B993" t="s">
        <v>64</v>
      </c>
      <c r="C993" s="1">
        <v>18183</v>
      </c>
      <c r="D993" t="s">
        <v>10</v>
      </c>
      <c r="E993">
        <v>912177491176</v>
      </c>
      <c r="F993" t="s">
        <v>3385</v>
      </c>
      <c r="G993" s="2" t="s">
        <v>3386</v>
      </c>
      <c r="H993">
        <v>8603903674</v>
      </c>
      <c r="I993" t="s">
        <v>3387</v>
      </c>
    </row>
    <row r="994" spans="1:9" ht="72">
      <c r="A994" t="s">
        <v>3420</v>
      </c>
      <c r="B994" t="s">
        <v>108</v>
      </c>
      <c r="C994" s="1">
        <v>19691</v>
      </c>
      <c r="D994" t="s">
        <v>15</v>
      </c>
      <c r="E994">
        <v>3474392708</v>
      </c>
      <c r="F994" t="s">
        <v>3388</v>
      </c>
      <c r="G994" s="2" t="s">
        <v>3389</v>
      </c>
      <c r="H994">
        <v>9097578851</v>
      </c>
      <c r="I994" t="s">
        <v>3390</v>
      </c>
    </row>
    <row r="995" spans="1:9" ht="72">
      <c r="A995" t="s">
        <v>3586</v>
      </c>
      <c r="B995" t="s">
        <v>156</v>
      </c>
      <c r="C995" s="1">
        <v>32720</v>
      </c>
      <c r="D995" t="s">
        <v>15</v>
      </c>
      <c r="E995">
        <v>914394616222</v>
      </c>
      <c r="F995" t="s">
        <v>3391</v>
      </c>
      <c r="G995" s="2" t="s">
        <v>3392</v>
      </c>
      <c r="H995">
        <v>8956886499</v>
      </c>
      <c r="I995" t="s">
        <v>3393</v>
      </c>
    </row>
    <row r="996" spans="1:9" ht="86.4">
      <c r="A996" t="s">
        <v>3605</v>
      </c>
      <c r="B996" t="s">
        <v>1169</v>
      </c>
      <c r="C996" s="1">
        <v>22207</v>
      </c>
      <c r="D996" t="s">
        <v>15</v>
      </c>
      <c r="E996">
        <v>918487614443</v>
      </c>
      <c r="F996" t="s">
        <v>3394</v>
      </c>
      <c r="G996" s="2" t="s">
        <v>3395</v>
      </c>
      <c r="H996">
        <v>9002492785</v>
      </c>
      <c r="I996" t="s">
        <v>3396</v>
      </c>
    </row>
    <row r="997" spans="1:9">
      <c r="A997" t="s">
        <v>3427</v>
      </c>
      <c r="B997" t="s">
        <v>3316</v>
      </c>
      <c r="C997" s="1">
        <v>21795</v>
      </c>
      <c r="D997" t="s">
        <v>10</v>
      </c>
      <c r="E997">
        <v>916760896010</v>
      </c>
      <c r="F997" t="s">
        <v>3397</v>
      </c>
      <c r="G997" t="s">
        <v>3398</v>
      </c>
      <c r="H997">
        <v>3986383466</v>
      </c>
      <c r="I997" t="s">
        <v>3399</v>
      </c>
    </row>
    <row r="998" spans="1:9" ht="57.6">
      <c r="A998" t="s">
        <v>3544</v>
      </c>
      <c r="B998" t="s">
        <v>1643</v>
      </c>
      <c r="C998" s="1">
        <v>32864</v>
      </c>
      <c r="D998" t="s">
        <v>28</v>
      </c>
      <c r="E998">
        <v>6532831530</v>
      </c>
      <c r="F998" t="s">
        <v>3400</v>
      </c>
      <c r="G998" s="2" t="s">
        <v>3401</v>
      </c>
      <c r="H998">
        <v>8294541833</v>
      </c>
      <c r="I998" t="s">
        <v>3402</v>
      </c>
    </row>
    <row r="999" spans="1:9">
      <c r="A999" t="s">
        <v>3468</v>
      </c>
      <c r="B999" t="s">
        <v>448</v>
      </c>
      <c r="C999" s="1">
        <v>26527</v>
      </c>
      <c r="D999" t="s">
        <v>15</v>
      </c>
      <c r="E999">
        <v>917438203950</v>
      </c>
      <c r="F999" t="s">
        <v>3403</v>
      </c>
      <c r="G999" t="s">
        <v>3404</v>
      </c>
      <c r="H999">
        <v>4247415163</v>
      </c>
      <c r="I999" t="s">
        <v>3405</v>
      </c>
    </row>
    <row r="1000" spans="1:9">
      <c r="A1000" t="s">
        <v>3610</v>
      </c>
      <c r="B1000" t="s">
        <v>1397</v>
      </c>
      <c r="C1000" s="1">
        <v>36949</v>
      </c>
      <c r="D1000" t="s">
        <v>15</v>
      </c>
      <c r="E1000">
        <v>2436485178</v>
      </c>
      <c r="F1000" t="s">
        <v>3406</v>
      </c>
      <c r="G1000" t="s">
        <v>3407</v>
      </c>
      <c r="H1000">
        <v>5683596278</v>
      </c>
      <c r="I1000" t="s">
        <v>3408</v>
      </c>
    </row>
    <row r="1001" spans="1:9" ht="86.4">
      <c r="A1001" t="s">
        <v>3530</v>
      </c>
      <c r="B1001" t="s">
        <v>352</v>
      </c>
      <c r="C1001" s="1">
        <v>25225</v>
      </c>
      <c r="D1001" t="s">
        <v>15</v>
      </c>
      <c r="E1001">
        <v>1451374028</v>
      </c>
      <c r="F1001" t="s">
        <v>3409</v>
      </c>
      <c r="G1001" s="2" t="s">
        <v>3410</v>
      </c>
      <c r="H1001">
        <v>9397595536</v>
      </c>
      <c r="I1001" t="s">
        <v>3411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Raw_Data (2)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tanvi nagalwade</cp:lastModifiedBy>
  <dcterms:created xsi:type="dcterms:W3CDTF">2025-07-26T11:13:55Z</dcterms:created>
  <dcterms:modified xsi:type="dcterms:W3CDTF">2026-04-11T05:37:55Z</dcterms:modified>
</cp:coreProperties>
</file>